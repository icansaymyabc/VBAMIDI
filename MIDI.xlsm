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Z:\Projects\"/>
    </mc:Choice>
  </mc:AlternateContent>
  <bookViews>
    <workbookView xWindow="0" yWindow="4950" windowWidth="20460" windowHeight="7290"/>
  </bookViews>
  <sheets>
    <sheet name="试音键盘" sheetId="5" r:id="rId1"/>
    <sheet name="Notes" sheetId="1" r:id="rId2"/>
    <sheet name="Messages" sheetId="2" r:id="rId3"/>
    <sheet name="音色" sheetId="3" r:id="rId4"/>
    <sheet name="频率知识" sheetId="4" r:id="rId5"/>
  </sheets>
  <definedNames>
    <definedName name="_xlnm._FilterDatabase" localSheetId="3" hidden="1">音色!$C$1:$C$129</definedName>
    <definedName name="_xlnm.Extract" localSheetId="3">音色!$H:$H</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3" i="3" l="1"/>
  <c r="I4" i="3"/>
  <c r="I5" i="3"/>
  <c r="I6" i="3"/>
  <c r="I7" i="3"/>
  <c r="I8" i="3"/>
  <c r="I9" i="3"/>
  <c r="I10" i="3"/>
  <c r="I11" i="3"/>
  <c r="I12" i="3"/>
  <c r="I13" i="3"/>
  <c r="I14" i="3"/>
  <c r="I15" i="3"/>
  <c r="I16" i="3"/>
  <c r="I17" i="3"/>
  <c r="I2" i="3"/>
  <c r="X1" i="5" l="1"/>
  <c r="AS1" i="5" s="1"/>
  <c r="BN1" i="5" s="1"/>
  <c r="CI1" i="5" s="1"/>
  <c r="DD1" i="5" s="1"/>
  <c r="DY1" i="5" s="1"/>
  <c r="ET1" i="5" s="1"/>
  <c r="FO1" i="5" s="1"/>
  <c r="GJ1" i="5" s="1"/>
  <c r="HE1" i="5" s="1"/>
  <c r="Y1" i="5"/>
  <c r="AT1" i="5" s="1"/>
  <c r="BO1" i="5" s="1"/>
  <c r="CJ1" i="5" s="1"/>
  <c r="DE1" i="5" s="1"/>
  <c r="DZ1" i="5" s="1"/>
  <c r="EU1" i="5" s="1"/>
  <c r="FP1" i="5" s="1"/>
  <c r="GK1" i="5" s="1"/>
  <c r="HF1" i="5" s="1"/>
  <c r="Z1" i="5"/>
  <c r="AA1" i="5"/>
  <c r="AV1" i="5" s="1"/>
  <c r="BQ1" i="5" s="1"/>
  <c r="CL1" i="5" s="1"/>
  <c r="DG1" i="5" s="1"/>
  <c r="EB1" i="5" s="1"/>
  <c r="EW1" i="5" s="1"/>
  <c r="FR1" i="5" s="1"/>
  <c r="GM1" i="5" s="1"/>
  <c r="HH1" i="5" s="1"/>
  <c r="AB1" i="5"/>
  <c r="AW1" i="5" s="1"/>
  <c r="BR1" i="5" s="1"/>
  <c r="CM1" i="5" s="1"/>
  <c r="DH1" i="5" s="1"/>
  <c r="EC1" i="5" s="1"/>
  <c r="EX1" i="5" s="1"/>
  <c r="FS1" i="5" s="1"/>
  <c r="GN1" i="5" s="1"/>
  <c r="HI1" i="5" s="1"/>
  <c r="AC1" i="5"/>
  <c r="AX1" i="5" s="1"/>
  <c r="BS1" i="5" s="1"/>
  <c r="CN1" i="5" s="1"/>
  <c r="DI1" i="5" s="1"/>
  <c r="ED1" i="5" s="1"/>
  <c r="EY1" i="5" s="1"/>
  <c r="FT1" i="5" s="1"/>
  <c r="GO1" i="5" s="1"/>
  <c r="HJ1" i="5" s="1"/>
  <c r="AD1" i="5"/>
  <c r="AE1" i="5"/>
  <c r="AZ1" i="5" s="1"/>
  <c r="BU1" i="5" s="1"/>
  <c r="CP1" i="5" s="1"/>
  <c r="DK1" i="5" s="1"/>
  <c r="EF1" i="5" s="1"/>
  <c r="FA1" i="5" s="1"/>
  <c r="FV1" i="5" s="1"/>
  <c r="GQ1" i="5" s="1"/>
  <c r="HL1" i="5" s="1"/>
  <c r="AF1" i="5"/>
  <c r="BA1" i="5" s="1"/>
  <c r="BV1" i="5" s="1"/>
  <c r="CQ1" i="5" s="1"/>
  <c r="AG1" i="5"/>
  <c r="BB1" i="5" s="1"/>
  <c r="BW1" i="5" s="1"/>
  <c r="CR1" i="5" s="1"/>
  <c r="DM1" i="5" s="1"/>
  <c r="EH1" i="5" s="1"/>
  <c r="FC1" i="5" s="1"/>
  <c r="FX1" i="5" s="1"/>
  <c r="GS1" i="5" s="1"/>
  <c r="HN1" i="5" s="1"/>
  <c r="AH1" i="5"/>
  <c r="AI1" i="5"/>
  <c r="AJ1" i="5"/>
  <c r="BE1" i="5" s="1"/>
  <c r="BZ1" i="5" s="1"/>
  <c r="CU1" i="5" s="1"/>
  <c r="DP1" i="5" s="1"/>
  <c r="EK1" i="5" s="1"/>
  <c r="FF1" i="5" s="1"/>
  <c r="GA1" i="5" s="1"/>
  <c r="GV1" i="5" s="1"/>
  <c r="HQ1" i="5" s="1"/>
  <c r="AK1" i="5"/>
  <c r="BF1" i="5" s="1"/>
  <c r="CA1" i="5" s="1"/>
  <c r="CV1" i="5" s="1"/>
  <c r="DQ1" i="5" s="1"/>
  <c r="EL1" i="5" s="1"/>
  <c r="FG1" i="5" s="1"/>
  <c r="GB1" i="5" s="1"/>
  <c r="GW1" i="5" s="1"/>
  <c r="AL1" i="5"/>
  <c r="AM1" i="5"/>
  <c r="BH1" i="5" s="1"/>
  <c r="CC1" i="5" s="1"/>
  <c r="CX1" i="5" s="1"/>
  <c r="DS1" i="5" s="1"/>
  <c r="EN1" i="5" s="1"/>
  <c r="FI1" i="5" s="1"/>
  <c r="GD1" i="5" s="1"/>
  <c r="GY1" i="5" s="1"/>
  <c r="AN1" i="5"/>
  <c r="BI1" i="5" s="1"/>
  <c r="CD1" i="5" s="1"/>
  <c r="CY1" i="5" s="1"/>
  <c r="DT1" i="5" s="1"/>
  <c r="EO1" i="5" s="1"/>
  <c r="FJ1" i="5" s="1"/>
  <c r="GE1" i="5" s="1"/>
  <c r="GZ1" i="5" s="1"/>
  <c r="AO1" i="5"/>
  <c r="BJ1" i="5" s="1"/>
  <c r="CE1" i="5" s="1"/>
  <c r="CZ1" i="5" s="1"/>
  <c r="DU1" i="5" s="1"/>
  <c r="EP1" i="5" s="1"/>
  <c r="FK1" i="5" s="1"/>
  <c r="GF1" i="5" s="1"/>
  <c r="HA1" i="5" s="1"/>
  <c r="AP1" i="5"/>
  <c r="BK1" i="5" s="1"/>
  <c r="CF1" i="5" s="1"/>
  <c r="DA1" i="5" s="1"/>
  <c r="DV1" i="5" s="1"/>
  <c r="EQ1" i="5" s="1"/>
  <c r="FL1" i="5" s="1"/>
  <c r="GG1" i="5" s="1"/>
  <c r="HB1" i="5" s="1"/>
  <c r="AQ1" i="5"/>
  <c r="BL1" i="5" s="1"/>
  <c r="CG1" i="5" s="1"/>
  <c r="DB1" i="5" s="1"/>
  <c r="DW1" i="5" s="1"/>
  <c r="ER1" i="5" s="1"/>
  <c r="FM1" i="5" s="1"/>
  <c r="GH1" i="5" s="1"/>
  <c r="HC1" i="5" s="1"/>
  <c r="AU1" i="5"/>
  <c r="BP1" i="5" s="1"/>
  <c r="CK1" i="5" s="1"/>
  <c r="DF1" i="5" s="1"/>
  <c r="EA1" i="5" s="1"/>
  <c r="EV1" i="5" s="1"/>
  <c r="FQ1" i="5" s="1"/>
  <c r="GL1" i="5" s="1"/>
  <c r="HG1" i="5" s="1"/>
  <c r="AY1" i="5"/>
  <c r="BC1" i="5"/>
  <c r="BD1" i="5"/>
  <c r="BY1" i="5" s="1"/>
  <c r="CT1" i="5" s="1"/>
  <c r="DO1" i="5" s="1"/>
  <c r="EJ1" i="5" s="1"/>
  <c r="FE1" i="5" s="1"/>
  <c r="FZ1" i="5" s="1"/>
  <c r="GU1" i="5" s="1"/>
  <c r="HP1" i="5" s="1"/>
  <c r="BG1" i="5"/>
  <c r="CB1" i="5" s="1"/>
  <c r="CW1" i="5" s="1"/>
  <c r="DR1" i="5" s="1"/>
  <c r="EM1" i="5" s="1"/>
  <c r="FH1" i="5" s="1"/>
  <c r="GC1" i="5" s="1"/>
  <c r="GX1" i="5" s="1"/>
  <c r="BT1" i="5"/>
  <c r="CO1" i="5" s="1"/>
  <c r="DJ1" i="5" s="1"/>
  <c r="EE1" i="5" s="1"/>
  <c r="EZ1" i="5" s="1"/>
  <c r="FU1" i="5" s="1"/>
  <c r="GP1" i="5" s="1"/>
  <c r="HK1" i="5" s="1"/>
  <c r="BX1" i="5"/>
  <c r="CS1" i="5" s="1"/>
  <c r="DN1" i="5" s="1"/>
  <c r="EI1" i="5" s="1"/>
  <c r="FD1" i="5" s="1"/>
  <c r="FY1" i="5" s="1"/>
  <c r="GT1" i="5" s="1"/>
  <c r="HO1" i="5" s="1"/>
  <c r="DL1" i="5"/>
  <c r="EG1" i="5" s="1"/>
  <c r="FB1" i="5" s="1"/>
  <c r="FW1" i="5" s="1"/>
  <c r="GR1" i="5" s="1"/>
  <c r="HM1" i="5" s="1"/>
  <c r="W1" i="5"/>
  <c r="AR1" i="5" s="1"/>
  <c r="BM1" i="5" s="1"/>
  <c r="CH1" i="5" s="1"/>
  <c r="DC1" i="5" s="1"/>
  <c r="DX1" i="5" s="1"/>
  <c r="ES1" i="5" s="1"/>
  <c r="FN1" i="5" s="1"/>
  <c r="GI1" i="5" s="1"/>
  <c r="HD1" i="5" s="1"/>
</calcChain>
</file>

<file path=xl/sharedStrings.xml><?xml version="1.0" encoding="utf-8"?>
<sst xmlns="http://schemas.openxmlformats.org/spreadsheetml/2006/main" count="1669" uniqueCount="953">
  <si>
    <t>MIDI音符代码表（1995年由MMA修订）</t>
  </si>
  <si>
    <t>编号</t>
  </si>
  <si>
    <t>音符代码</t>
  </si>
  <si>
    <t>所在的音阶</t>
  </si>
  <si>
    <t>音调</t>
  </si>
  <si>
    <t>C</t>
  </si>
  <si>
    <t>C#</t>
  </si>
  <si>
    <t>D</t>
  </si>
  <si>
    <t>D#</t>
  </si>
  <si>
    <t>E</t>
  </si>
  <si>
    <t>F</t>
  </si>
  <si>
    <t>F#</t>
  </si>
  <si>
    <t>G</t>
  </si>
  <si>
    <t>G#</t>
  </si>
  <si>
    <t>A</t>
  </si>
  <si>
    <t>0A</t>
  </si>
  <si>
    <t>A#</t>
  </si>
  <si>
    <t>0B</t>
  </si>
  <si>
    <t>B</t>
  </si>
  <si>
    <t>0C</t>
  </si>
  <si>
    <t>0D</t>
  </si>
  <si>
    <t>0E</t>
  </si>
  <si>
    <t>0F</t>
  </si>
  <si>
    <t>1A</t>
  </si>
  <si>
    <t>1B</t>
  </si>
  <si>
    <t>1C</t>
  </si>
  <si>
    <t>1D</t>
  </si>
  <si>
    <t>1E</t>
  </si>
  <si>
    <t>1F</t>
  </si>
  <si>
    <t>2A</t>
  </si>
  <si>
    <t>2B</t>
  </si>
  <si>
    <t>2C</t>
  </si>
  <si>
    <t>2D</t>
  </si>
  <si>
    <t>2E</t>
  </si>
  <si>
    <t>2F</t>
  </si>
  <si>
    <t>3A</t>
  </si>
  <si>
    <t>3B</t>
  </si>
  <si>
    <t>3C</t>
  </si>
  <si>
    <t>3D</t>
  </si>
  <si>
    <t>3E</t>
  </si>
  <si>
    <t>3F</t>
  </si>
  <si>
    <t>4A</t>
  </si>
  <si>
    <t>4B</t>
  </si>
  <si>
    <t>4C</t>
  </si>
  <si>
    <t>4D</t>
  </si>
  <si>
    <t>4E</t>
  </si>
  <si>
    <t>4F</t>
  </si>
  <si>
    <t>5A</t>
  </si>
  <si>
    <t>5B</t>
  </si>
  <si>
    <t>5C</t>
  </si>
  <si>
    <t>5D</t>
  </si>
  <si>
    <t>5E</t>
  </si>
  <si>
    <t>5F</t>
  </si>
  <si>
    <t>6A</t>
  </si>
  <si>
    <t>6B</t>
  </si>
  <si>
    <t>6C</t>
  </si>
  <si>
    <t>6D</t>
  </si>
  <si>
    <t>6E</t>
  </si>
  <si>
    <t>6F</t>
  </si>
  <si>
    <t>7A</t>
  </si>
  <si>
    <t>7B</t>
  </si>
  <si>
    <t>7C</t>
  </si>
  <si>
    <t>7D</t>
  </si>
  <si>
    <t>7E</t>
  </si>
  <si>
    <t>7F</t>
  </si>
  <si>
    <t>0</t>
  </si>
  <si>
    <t>0000000</t>
  </si>
  <si>
    <t>00</t>
  </si>
  <si>
    <t>-1</t>
  </si>
  <si>
    <t>1</t>
  </si>
  <si>
    <t>0000001</t>
  </si>
  <si>
    <t>01</t>
  </si>
  <si>
    <t>2</t>
  </si>
  <si>
    <t>0000010</t>
  </si>
  <si>
    <t>02</t>
  </si>
  <si>
    <t>3</t>
  </si>
  <si>
    <t>0000011</t>
  </si>
  <si>
    <t>03</t>
  </si>
  <si>
    <t>4</t>
  </si>
  <si>
    <t>0000100</t>
  </si>
  <si>
    <t>04</t>
  </si>
  <si>
    <t>5</t>
  </si>
  <si>
    <t>0000101</t>
  </si>
  <si>
    <t>05</t>
  </si>
  <si>
    <t>6</t>
  </si>
  <si>
    <t>0000110</t>
  </si>
  <si>
    <t>06</t>
  </si>
  <si>
    <t>7</t>
  </si>
  <si>
    <t>0000111</t>
  </si>
  <si>
    <t>07</t>
  </si>
  <si>
    <t>8</t>
  </si>
  <si>
    <t>0001000</t>
  </si>
  <si>
    <t>08</t>
  </si>
  <si>
    <t>9</t>
  </si>
  <si>
    <t>0001001</t>
  </si>
  <si>
    <t>09</t>
  </si>
  <si>
    <t>10</t>
  </si>
  <si>
    <t>0001010</t>
  </si>
  <si>
    <t>11</t>
  </si>
  <si>
    <t>0001011</t>
  </si>
  <si>
    <t>12</t>
  </si>
  <si>
    <t>0001100</t>
  </si>
  <si>
    <t>13</t>
  </si>
  <si>
    <t>0001101</t>
  </si>
  <si>
    <t>14</t>
  </si>
  <si>
    <t>0001110</t>
  </si>
  <si>
    <t>15</t>
  </si>
  <si>
    <t>0001111</t>
  </si>
  <si>
    <t>16</t>
  </si>
  <si>
    <t>0010000</t>
  </si>
  <si>
    <t>17</t>
  </si>
  <si>
    <t>0010001</t>
  </si>
  <si>
    <t>18</t>
  </si>
  <si>
    <t>0010010</t>
  </si>
  <si>
    <t>19</t>
  </si>
  <si>
    <t>0010011</t>
  </si>
  <si>
    <t>20</t>
  </si>
  <si>
    <t>0010100</t>
  </si>
  <si>
    <t>21</t>
  </si>
  <si>
    <t>0010101</t>
  </si>
  <si>
    <t>22</t>
  </si>
  <si>
    <t>0010110</t>
  </si>
  <si>
    <t>23</t>
  </si>
  <si>
    <t>0010111</t>
  </si>
  <si>
    <t>24</t>
  </si>
  <si>
    <t>0011000</t>
  </si>
  <si>
    <t>25</t>
  </si>
  <si>
    <t>0011001</t>
  </si>
  <si>
    <t>26</t>
  </si>
  <si>
    <t>0011010</t>
  </si>
  <si>
    <t>27</t>
  </si>
  <si>
    <t>0011011</t>
  </si>
  <si>
    <t>28</t>
  </si>
  <si>
    <t>0011100</t>
  </si>
  <si>
    <t>29</t>
  </si>
  <si>
    <t>0011101</t>
  </si>
  <si>
    <t>30</t>
  </si>
  <si>
    <t>0011110</t>
  </si>
  <si>
    <t>31</t>
  </si>
  <si>
    <t>0011111</t>
  </si>
  <si>
    <t>32</t>
  </si>
  <si>
    <t>0100000</t>
  </si>
  <si>
    <t>33</t>
  </si>
  <si>
    <t>0100001</t>
  </si>
  <si>
    <t>34</t>
  </si>
  <si>
    <t>0100010</t>
  </si>
  <si>
    <t>35</t>
  </si>
  <si>
    <t>0100011</t>
  </si>
  <si>
    <t>36</t>
  </si>
  <si>
    <t>0100100</t>
  </si>
  <si>
    <t>37</t>
  </si>
  <si>
    <t>0100101</t>
  </si>
  <si>
    <t>38</t>
  </si>
  <si>
    <t>0100110</t>
  </si>
  <si>
    <t>39</t>
  </si>
  <si>
    <t>0100111</t>
  </si>
  <si>
    <t>40</t>
  </si>
  <si>
    <t>0101000</t>
  </si>
  <si>
    <t>41</t>
  </si>
  <si>
    <t>0101001</t>
  </si>
  <si>
    <t>42</t>
  </si>
  <si>
    <t>0101010</t>
  </si>
  <si>
    <t>43</t>
  </si>
  <si>
    <t>0101011</t>
  </si>
  <si>
    <t>44</t>
  </si>
  <si>
    <t>0101100</t>
  </si>
  <si>
    <t>45</t>
  </si>
  <si>
    <t>0101101</t>
  </si>
  <si>
    <t>46</t>
  </si>
  <si>
    <t>0101110</t>
  </si>
  <si>
    <t>47</t>
  </si>
  <si>
    <t>0101111</t>
  </si>
  <si>
    <t>48</t>
  </si>
  <si>
    <t>0110000</t>
  </si>
  <si>
    <t>49</t>
  </si>
  <si>
    <t>0110001</t>
  </si>
  <si>
    <t>50</t>
  </si>
  <si>
    <t>0110010</t>
  </si>
  <si>
    <t>51</t>
  </si>
  <si>
    <t>0110011</t>
  </si>
  <si>
    <t>52</t>
  </si>
  <si>
    <t>0110100</t>
  </si>
  <si>
    <t>53</t>
  </si>
  <si>
    <t>0110101</t>
  </si>
  <si>
    <t>54</t>
  </si>
  <si>
    <t>0110110</t>
  </si>
  <si>
    <t>55</t>
  </si>
  <si>
    <t>0110111</t>
  </si>
  <si>
    <t>56</t>
  </si>
  <si>
    <t>0111000</t>
  </si>
  <si>
    <t>57</t>
  </si>
  <si>
    <t>0111001</t>
  </si>
  <si>
    <t>58</t>
  </si>
  <si>
    <t>0111010</t>
  </si>
  <si>
    <t>59</t>
  </si>
  <si>
    <t>0111011</t>
  </si>
  <si>
    <t>60</t>
  </si>
  <si>
    <t>0111100</t>
  </si>
  <si>
    <t>61</t>
  </si>
  <si>
    <t>0111101</t>
  </si>
  <si>
    <t>62</t>
  </si>
  <si>
    <t>0111110</t>
  </si>
  <si>
    <t>63</t>
  </si>
  <si>
    <t>0111111</t>
  </si>
  <si>
    <t>64</t>
  </si>
  <si>
    <t>1000000</t>
  </si>
  <si>
    <t>65</t>
  </si>
  <si>
    <t>1000001</t>
  </si>
  <si>
    <t>66</t>
  </si>
  <si>
    <t>1000010</t>
  </si>
  <si>
    <t>67</t>
  </si>
  <si>
    <t>1000011</t>
  </si>
  <si>
    <t>68</t>
  </si>
  <si>
    <t>1000100</t>
  </si>
  <si>
    <t>69</t>
  </si>
  <si>
    <t>1000101</t>
  </si>
  <si>
    <t>70</t>
  </si>
  <si>
    <t>1000110</t>
  </si>
  <si>
    <t>71</t>
  </si>
  <si>
    <t>1000111</t>
  </si>
  <si>
    <t>72</t>
  </si>
  <si>
    <t>1001000</t>
  </si>
  <si>
    <t>73</t>
  </si>
  <si>
    <t>1001001</t>
  </si>
  <si>
    <t>74</t>
  </si>
  <si>
    <t>1001010</t>
  </si>
  <si>
    <t>75</t>
  </si>
  <si>
    <t>1001011</t>
  </si>
  <si>
    <t>76</t>
  </si>
  <si>
    <t>1001100</t>
  </si>
  <si>
    <t>77</t>
  </si>
  <si>
    <t>1001101</t>
  </si>
  <si>
    <t>78</t>
  </si>
  <si>
    <t>1001110</t>
  </si>
  <si>
    <t>79</t>
  </si>
  <si>
    <t>1001111</t>
  </si>
  <si>
    <t>80</t>
  </si>
  <si>
    <t>1010000</t>
  </si>
  <si>
    <t>81</t>
  </si>
  <si>
    <t>1010001</t>
  </si>
  <si>
    <t>82</t>
  </si>
  <si>
    <t>1010010</t>
  </si>
  <si>
    <t>83</t>
  </si>
  <si>
    <t>1010011</t>
  </si>
  <si>
    <t>84</t>
  </si>
  <si>
    <t>1010100</t>
  </si>
  <si>
    <t>85</t>
  </si>
  <si>
    <t>1010101</t>
  </si>
  <si>
    <t>86</t>
  </si>
  <si>
    <t>1010110</t>
  </si>
  <si>
    <t>87</t>
  </si>
  <si>
    <t>1010111</t>
  </si>
  <si>
    <t>88</t>
  </si>
  <si>
    <t>1011000</t>
  </si>
  <si>
    <t>89</t>
  </si>
  <si>
    <t>1011001</t>
  </si>
  <si>
    <t>90</t>
  </si>
  <si>
    <t>1011010</t>
  </si>
  <si>
    <t>91</t>
  </si>
  <si>
    <t>1011011</t>
  </si>
  <si>
    <t>92</t>
  </si>
  <si>
    <t>1011100</t>
  </si>
  <si>
    <t>93</t>
  </si>
  <si>
    <t>1011101</t>
  </si>
  <si>
    <t>94</t>
  </si>
  <si>
    <t>1011110</t>
  </si>
  <si>
    <t>95</t>
  </si>
  <si>
    <t>1011111</t>
  </si>
  <si>
    <t>96</t>
  </si>
  <si>
    <t>1100000</t>
  </si>
  <si>
    <t>97</t>
  </si>
  <si>
    <t>1100001</t>
  </si>
  <si>
    <t>98</t>
  </si>
  <si>
    <t>1100010</t>
  </si>
  <si>
    <t>99</t>
  </si>
  <si>
    <t>1100011</t>
  </si>
  <si>
    <t>100</t>
  </si>
  <si>
    <t>1100100</t>
  </si>
  <si>
    <t>101</t>
  </si>
  <si>
    <t>1100101</t>
  </si>
  <si>
    <t>102</t>
  </si>
  <si>
    <t>1100110</t>
  </si>
  <si>
    <t>103</t>
  </si>
  <si>
    <t>1100111</t>
  </si>
  <si>
    <t>104</t>
  </si>
  <si>
    <t>1101000</t>
  </si>
  <si>
    <t>105</t>
  </si>
  <si>
    <t>1101001</t>
  </si>
  <si>
    <t>106</t>
  </si>
  <si>
    <t>1101010</t>
  </si>
  <si>
    <t>107</t>
  </si>
  <si>
    <t>1101011</t>
  </si>
  <si>
    <t>108</t>
  </si>
  <si>
    <t>1101100</t>
  </si>
  <si>
    <t>109</t>
  </si>
  <si>
    <t>1101101</t>
  </si>
  <si>
    <t>110</t>
  </si>
  <si>
    <t>1101110</t>
  </si>
  <si>
    <t>111</t>
  </si>
  <si>
    <t>1101111</t>
  </si>
  <si>
    <t>112</t>
  </si>
  <si>
    <t>1110000</t>
  </si>
  <si>
    <t>113</t>
  </si>
  <si>
    <t>1110001</t>
  </si>
  <si>
    <t>114</t>
  </si>
  <si>
    <t>1110010</t>
  </si>
  <si>
    <t>115</t>
  </si>
  <si>
    <t>1110011</t>
  </si>
  <si>
    <t>116</t>
  </si>
  <si>
    <t>1110100</t>
  </si>
  <si>
    <t>117</t>
  </si>
  <si>
    <t>1110101</t>
  </si>
  <si>
    <t>118</t>
  </si>
  <si>
    <t>1110110</t>
  </si>
  <si>
    <t>119</t>
  </si>
  <si>
    <t>1110111</t>
  </si>
  <si>
    <t>120</t>
  </si>
  <si>
    <t>1111000</t>
  </si>
  <si>
    <t>121</t>
  </si>
  <si>
    <t>1111001</t>
  </si>
  <si>
    <t>122</t>
  </si>
  <si>
    <t>1111010</t>
  </si>
  <si>
    <t>123</t>
  </si>
  <si>
    <t>1111011</t>
  </si>
  <si>
    <t>124</t>
  </si>
  <si>
    <t>1111100</t>
  </si>
  <si>
    <t>125</t>
  </si>
  <si>
    <t>1111101</t>
  </si>
  <si>
    <t>126</t>
  </si>
  <si>
    <t>1111110</t>
  </si>
  <si>
    <t>127</t>
  </si>
  <si>
    <t>1111111</t>
  </si>
  <si>
    <t>Table 1: MIDI 1.0 Specification Message Summary</t>
  </si>
  <si>
    <t>Status </t>
  </si>
  <si>
    <t>D7----D0 </t>
  </si>
  <si>
    <t>Data Byte(s)</t>
  </si>
  <si>
    <t>Description</t>
  </si>
  <si>
    <t>Channel Voice Messages [nnnn = 0-15 (MIDI Channel Number 1-16)] </t>
  </si>
  <si>
    <t>1000nnnn</t>
  </si>
  <si>
    <t>0kkkkkkk </t>
  </si>
  <si>
    <t>0vvvvvvv</t>
  </si>
  <si>
    <t>Note Off event. </t>
  </si>
  <si>
    <t>This message is sent when a note is released (ended). (kkkkkkk) is the key (note) number. (vvvvvvv) is the velocity.</t>
  </si>
  <si>
    <t>1001nnnn</t>
  </si>
  <si>
    <t>Note On event. </t>
  </si>
  <si>
    <t>This message is sent when a note is depressed (start). (kkkkkkk) is the key (note) number. (vvvvvvv) is the velocity.</t>
  </si>
  <si>
    <t>1010nnnn</t>
  </si>
  <si>
    <t>Polyphonic Key Pressure (Aftertouch). </t>
  </si>
  <si>
    <t>1011nnnn</t>
  </si>
  <si>
    <t>0ccccccc </t>
  </si>
  <si>
    <t>Control Change. </t>
  </si>
  <si>
    <t>This message is sent when a controller value changes. Controllers include devices such as pedals and levers. Controller numbers 120-127 are reserved as "Channel Mode Messages" (below). (ccccccc) is the controller number (0-119). (vvvvvvv) is the controller value (0-127).</t>
  </si>
  <si>
    <t>1100nnnn</t>
  </si>
  <si>
    <t>0ppppppp</t>
  </si>
  <si>
    <t>Program Change. This message sent when the patch number changes. (ppppppp) is the new program number.</t>
  </si>
  <si>
    <t>1101nnnn</t>
  </si>
  <si>
    <t>Channel Pressure (After-touch). This message is most often sent by pressing down on the key after it "bottoms out". This message is different from polyphonic after-touch. Use this message to send the single greatest pressure value (of all the current depressed keys). (vvvvvvv) is the pressure value.</t>
  </si>
  <si>
    <t>1110nnnn</t>
  </si>
  <si>
    <t>0lllllll </t>
  </si>
  <si>
    <t>0mmmmmmm</t>
  </si>
  <si>
    <t>Pitch Bend Change. This message is sent to indicate a change in the pitch bender (wheel or lever, typically). The pitch bender is measured by a fourteen bit value. Center (no pitch change) is 2000H. Sensitivity is a function of the receiver, but may be set using RPN 0. (lllllll) are the least significant 7 bits. (mmmmmmm) are the most significant 7 bits.</t>
  </si>
  <si>
    <t>Channel Mode Messages (See also Control Change, above) </t>
  </si>
  <si>
    <t>Channel Mode Messages. </t>
  </si>
  <si>
    <t>This the same code as the Control Change (above), but implements Mode control and special message by using reserved controller numbers 120-127. The commands are:</t>
  </si>
  <si>
    <t>All Sound Off. When All Sound Off is received all oscillators will turn off, and their volume envelopes are set to zero as soon as possible. c = 120, v = 0: All Sound Off</t>
  </si>
  <si>
    <t>Reset All Controllers. When Reset All Controllers is received, all controller values are reset to their default values. (See specific Recommended Practices for defaults). </t>
  </si>
  <si>
    <t>c = 121, v = x: Value must only be zero unless otherwise allowed in a specific Recommended Practice.</t>
  </si>
  <si>
    <t>Local Control. When Local Control is Off, all devices on a given channel will respond only to data received over MIDI. Played data, etc. will be ignored. Local Control On restores the functions of the normal controllers. </t>
  </si>
  <si>
    <t>c = 122, v = 0: Local Control Off</t>
  </si>
  <si>
    <t>c = 122, v = 127: Local Control On</t>
  </si>
  <si>
    <t>All Notes Off. When an All Notes Off is received, all oscillators will turn off. </t>
  </si>
  <si>
    <t>c = 123, v = 0: All Notes Off (See text for description of actual mode commands.)</t>
  </si>
  <si>
    <t>c = 124, v = 0: Omni Mode Off </t>
  </si>
  <si>
    <t>c = 125, v = 0: Omni Mode On </t>
  </si>
  <si>
    <t>c = 126, v = M: Mono Mode On (Poly Off) where M is the number of channels (Omni Off) or 0 (Omni On) </t>
  </si>
  <si>
    <t>c = 127, v = 0: Poly Mode On (Mono Off) (Note: These four messages also cause All Notes Off)</t>
  </si>
  <si>
    <t>System Common Messages </t>
  </si>
  <si>
    <t>0iiiiiii</t>
  </si>
  <si>
    <t>[0iiiiiii</t>
  </si>
  <si>
    <t>0iiiiiii]</t>
  </si>
  <si>
    <t>0ddddddd </t>
  </si>
  <si>
    <t>---</t>
  </si>
  <si>
    <t>System Exclusive. </t>
  </si>
  <si>
    <t>This message type allows manufacturers to create their own messages (such as bulk dumps, patch parameters, and other non-spec data) and provides a mechanism for creating additional MIDI Specification messages. The Manufacturer's ID code (assigned by MMA or AMEI) is either 1 byte (0iiiiiii) or 3 bytes (0iiiiiii 0iiiiiii 0iiiiiii). Two of the 1 Byte IDs are reserved for extensions called Universal Exclusive Messages, which are not manufacturer-specific. If a device recognizes the ID code as its own (or as a supported Universal message) it will listen to the rest of the message (0ddddddd). Otherwise, the message will be ignored. (Note: Only Real-Time messages may be interleaved with a System Exclusive.)</t>
  </si>
  <si>
    <t>0nnndddd</t>
  </si>
  <si>
    <t>MIDI Time Code Quarter Frame.</t>
  </si>
  <si>
    <t>nnn = Message Type</t>
  </si>
  <si>
    <t>dddd = Values</t>
  </si>
  <si>
    <t>Song Position Pointer. </t>
  </si>
  <si>
    <t>This is an internal 14 bit register that holds the number of MIDI beats (1 beat= six MIDI clocks) since the start of the song. l is the LSB, m the MSB.</t>
  </si>
  <si>
    <t>0sssssss</t>
  </si>
  <si>
    <t>Song Select. </t>
  </si>
  <si>
    <t>The Song Select specifies which sequence or song is to be played.</t>
  </si>
  <si>
    <t>Undefined. (Reserved)</t>
  </si>
  <si>
    <t>Tune Request. Upon receiving a Tune Request, all analog synthesizers should tune their oscillators.</t>
  </si>
  <si>
    <t>End of Exclusive. Used to terminate a System Exclusive dump (see above).</t>
  </si>
  <si>
    <t>System Real-Time Messages </t>
  </si>
  <si>
    <t>Timing Clock. Sent 24 times per quarter note when synchronization is required (see text).</t>
  </si>
  <si>
    <t>Start. Start the current sequence playing. (This message will be followed with Timing Clocks).</t>
  </si>
  <si>
    <t>Continue. Continue at the point the sequence was Stopped.</t>
  </si>
  <si>
    <t>Stop. Stop the current sequence.</t>
  </si>
  <si>
    <t>Active Sensing. This message is intended to be sent repeatedly to tell the receiver that a connection is alive. Use of this message is optional. When initially received, the receiver will expect to receive another Active Sensing message each 300ms (max), and if it does not then it will assume that the connection has been terminated. At termination, the receiver will turn off all voices and return to normal (non- active sensing) operation. </t>
  </si>
  <si>
    <t>Reset. Reset all receivers in the system to power-up status. This should be used sparingly, preferably under manual control. In particular, it should not be sent on power-up.</t>
  </si>
  <si>
    <t>注释</t>
    <phoneticPr fontId="1" type="noConversion"/>
  </si>
  <si>
    <t>打击乐器</t>
  </si>
  <si>
    <t>代号</t>
  </si>
  <si>
    <t>英文名</t>
  </si>
  <si>
    <t>中文名称</t>
  </si>
  <si>
    <t>Acoustic Grand Piano</t>
  </si>
  <si>
    <t>Bright Acoustic Piano</t>
  </si>
  <si>
    <t>Electric Grand Piano</t>
  </si>
  <si>
    <t>Rhodes Piano</t>
  </si>
  <si>
    <t>Chorused Piano</t>
  </si>
  <si>
    <t>Harpsichord</t>
  </si>
  <si>
    <t>Clavichord</t>
  </si>
  <si>
    <t>Celesta</t>
  </si>
  <si>
    <t>Glockenspiel</t>
  </si>
  <si>
    <t>Vibraphone</t>
  </si>
  <si>
    <t>Marimba</t>
  </si>
  <si>
    <t>Xylophone</t>
  </si>
  <si>
    <t>Tubular Bells</t>
  </si>
  <si>
    <t>Dulcimer</t>
  </si>
  <si>
    <t>Hammond Organ</t>
  </si>
  <si>
    <t>Percussive Organ</t>
  </si>
  <si>
    <t>Rock Organ</t>
  </si>
  <si>
    <t>Church Organ</t>
  </si>
  <si>
    <t>Reed Organ</t>
  </si>
  <si>
    <t>Accordian</t>
  </si>
  <si>
    <t>Harmonica</t>
  </si>
  <si>
    <t>Tango Accordian</t>
  </si>
  <si>
    <t>Acoustic Guitar (nylon)</t>
  </si>
  <si>
    <t>Acoustic Guitar (steel)</t>
  </si>
  <si>
    <t>Electric Guitar (jazz)</t>
  </si>
  <si>
    <t>Electric Guitar (clean)</t>
  </si>
  <si>
    <t>Electric Guitar (muted)</t>
  </si>
  <si>
    <t>Overdriven Guitar</t>
  </si>
  <si>
    <t>Distortion Guitar</t>
  </si>
  <si>
    <t>Guitar Harmonics</t>
  </si>
  <si>
    <t>Acoustic Bass</t>
  </si>
  <si>
    <t>Electric Bass(finger)</t>
  </si>
  <si>
    <t>Electric Bass (pick)</t>
  </si>
  <si>
    <t>Fretless Bass</t>
  </si>
  <si>
    <t>Slap Bass 1</t>
  </si>
  <si>
    <t>Slap Bass 2</t>
  </si>
  <si>
    <t>Synth Bass 1</t>
  </si>
  <si>
    <t>Synth Bass 2</t>
  </si>
  <si>
    <t>Violin</t>
  </si>
  <si>
    <t>Viola</t>
  </si>
  <si>
    <t>Cello</t>
  </si>
  <si>
    <t>Contrabass</t>
  </si>
  <si>
    <t>Tremolo Strings</t>
  </si>
  <si>
    <t>Pizzicato Strings</t>
  </si>
  <si>
    <t>Orchestral Harp</t>
  </si>
  <si>
    <t>Timpani</t>
  </si>
  <si>
    <t>String Ensemble 1</t>
  </si>
  <si>
    <t>String Ensemble 2</t>
  </si>
  <si>
    <t>Synth Strings 1</t>
  </si>
  <si>
    <t>Synth Strings 2</t>
  </si>
  <si>
    <t>Choir Aahs</t>
  </si>
  <si>
    <t>Voice Oohs</t>
  </si>
  <si>
    <t>Synth Voice</t>
  </si>
  <si>
    <t>Orchestra Hit</t>
  </si>
  <si>
    <t>Trumpet</t>
  </si>
  <si>
    <t>Trombone</t>
  </si>
  <si>
    <t>Tuba</t>
  </si>
  <si>
    <t>Muted Trumpet</t>
  </si>
  <si>
    <t>French Horn</t>
  </si>
  <si>
    <t>Synth Brass 1</t>
  </si>
  <si>
    <t>Synth Brass 2</t>
  </si>
  <si>
    <t>Soprano Sax</t>
  </si>
  <si>
    <t>Alto Sax</t>
  </si>
  <si>
    <t>Tenor Sax</t>
  </si>
  <si>
    <t>Baritone Sax</t>
  </si>
  <si>
    <t>Oboe</t>
  </si>
  <si>
    <t>English Horn</t>
  </si>
  <si>
    <t>Bassoon</t>
  </si>
  <si>
    <t>Clarinet</t>
  </si>
  <si>
    <t>Piccolo</t>
  </si>
  <si>
    <t>Flute</t>
  </si>
  <si>
    <t>Recorder</t>
  </si>
  <si>
    <t>Pan Flute</t>
  </si>
  <si>
    <t>Bottle Blow</t>
  </si>
  <si>
    <t>Shakuhachi</t>
  </si>
  <si>
    <t>Whistle</t>
  </si>
  <si>
    <t>Ocarina</t>
  </si>
  <si>
    <t>Lead 1 (square)</t>
  </si>
  <si>
    <t>Lead 2 (sawtooth)</t>
  </si>
  <si>
    <t>Lead 3 (caliope lead)</t>
  </si>
  <si>
    <t>Lead 4 (chiff lead)</t>
  </si>
  <si>
    <t>Lead 5 (charang)</t>
  </si>
  <si>
    <t>Lead 6 (voice)</t>
  </si>
  <si>
    <t>Lead 7 (fifths)</t>
  </si>
  <si>
    <t>Pad 1 (new age)</t>
  </si>
  <si>
    <t>Pad 2 (warm)</t>
  </si>
  <si>
    <t>Pad 3 (polysynth)</t>
  </si>
  <si>
    <t>Pad 4 (choir)</t>
  </si>
  <si>
    <t>Pad 5 (bowed)</t>
  </si>
  <si>
    <t>Pad 6 (metallic)</t>
  </si>
  <si>
    <t>Pad 7 (halo)</t>
  </si>
  <si>
    <t>Pad 8 (sweep)</t>
  </si>
  <si>
    <t>FX 1 (rain)</t>
  </si>
  <si>
    <t>FX 2 (soundtrack)</t>
  </si>
  <si>
    <t>FX 3 (crystal)</t>
  </si>
  <si>
    <t>FX 4 (atmosphere)</t>
  </si>
  <si>
    <t>FX 5 (brightness)</t>
  </si>
  <si>
    <t>FX 6 (goblins)</t>
  </si>
  <si>
    <t>FX 7 (echoes)</t>
  </si>
  <si>
    <t>Sitar</t>
  </si>
  <si>
    <t>Banjo</t>
  </si>
  <si>
    <t>Shamisen</t>
  </si>
  <si>
    <t>Koto</t>
  </si>
  <si>
    <t>Kalimba</t>
  </si>
  <si>
    <t>Bagpipe</t>
  </si>
  <si>
    <t>Fiddle</t>
  </si>
  <si>
    <t>Shanai</t>
  </si>
  <si>
    <t>Tinkle Bell</t>
  </si>
  <si>
    <t>Agogo</t>
  </si>
  <si>
    <t>Steel Drums</t>
  </si>
  <si>
    <t>Woodblock</t>
  </si>
  <si>
    <t>Taiko Drum</t>
  </si>
  <si>
    <t>Melodic Tom</t>
  </si>
  <si>
    <t>Synth Drum</t>
  </si>
  <si>
    <t>Reverse Cymbal</t>
  </si>
  <si>
    <t>Guitar Fret Noise</t>
  </si>
  <si>
    <t>Breath Noise</t>
  </si>
  <si>
    <t>Seashore</t>
  </si>
  <si>
    <t>Bird Tweet</t>
  </si>
  <si>
    <t>Telephone Ring</t>
  </si>
  <si>
    <t>Helicopter</t>
  </si>
  <si>
    <t>Applause</t>
  </si>
  <si>
    <t>Gunshot</t>
  </si>
  <si>
    <t>合奏</t>
  </si>
  <si>
    <t>类别</t>
    <phoneticPr fontId="1" type="noConversion"/>
  </si>
  <si>
    <t>Brass Section</t>
  </si>
  <si>
    <t>Lead 8 (bass+lead)</t>
  </si>
  <si>
    <t>Piano</t>
    <phoneticPr fontId="1" type="noConversion"/>
  </si>
  <si>
    <t>Chromatic Percussion</t>
    <phoneticPr fontId="1" type="noConversion"/>
  </si>
  <si>
    <t>Organ</t>
    <phoneticPr fontId="1" type="noConversion"/>
  </si>
  <si>
    <t>Guitar</t>
    <phoneticPr fontId="1" type="noConversion"/>
  </si>
  <si>
    <t>Bass</t>
    <phoneticPr fontId="1" type="noConversion"/>
  </si>
  <si>
    <t>Solo Strings</t>
    <phoneticPr fontId="1" type="noConversion"/>
  </si>
  <si>
    <t>Ensemble</t>
    <phoneticPr fontId="1" type="noConversion"/>
  </si>
  <si>
    <t>Brass</t>
    <phoneticPr fontId="1" type="noConversion"/>
  </si>
  <si>
    <t>Reed</t>
    <phoneticPr fontId="1" type="noConversion"/>
  </si>
  <si>
    <t>Pipe</t>
    <phoneticPr fontId="1" type="noConversion"/>
  </si>
  <si>
    <t>Synth Lead</t>
    <phoneticPr fontId="1" type="noConversion"/>
  </si>
  <si>
    <t>Synth Pad</t>
    <phoneticPr fontId="1" type="noConversion"/>
  </si>
  <si>
    <t>Synth Effects</t>
    <phoneticPr fontId="1" type="noConversion"/>
  </si>
  <si>
    <t>Ethnic</t>
    <phoneticPr fontId="1" type="noConversion"/>
  </si>
  <si>
    <t>Percussive</t>
    <phoneticPr fontId="1" type="noConversion"/>
  </si>
  <si>
    <t>Sound Effects</t>
  </si>
  <si>
    <t>声音效果</t>
  </si>
  <si>
    <t>分类</t>
    <phoneticPr fontId="1" type="noConversion"/>
  </si>
  <si>
    <t>八度音阶和频率的关系</t>
  </si>
  <si>
    <t>Frequency in hertz (semitones above or below middle C)</t>
  </si>
  <si>
    <t>Octave→</t>
  </si>
  <si>
    <t>Note↓</t>
  </si>
  <si>
    <t>16.352 (−48)</t>
  </si>
  <si>
    <t>32.703 (−36)</t>
  </si>
  <si>
    <t>65.406 (−24)</t>
  </si>
  <si>
    <t>130.81 (−12)</t>
  </si>
  <si>
    <t>261.63 (0)</t>
  </si>
  <si>
    <t>523.25 (+12)</t>
  </si>
  <si>
    <t>1046.5 (+24)</t>
  </si>
  <si>
    <t>2093.0 (+36)</t>
  </si>
  <si>
    <t>4186.0 (+48)</t>
  </si>
  <si>
    <t>8372.0 (+60)</t>
  </si>
  <si>
    <t>C♯/D♭</t>
  </si>
  <si>
    <t>17.324 (−47)</t>
  </si>
  <si>
    <t>34.648 (−35)</t>
  </si>
  <si>
    <t>69.296 (−23)</t>
  </si>
  <si>
    <t>138.59 (−11)</t>
  </si>
  <si>
    <t>277.18 (+1)</t>
  </si>
  <si>
    <t>554.37 (+13)</t>
  </si>
  <si>
    <t>1108.7 (+25)</t>
  </si>
  <si>
    <t>2217.5 (+37)</t>
  </si>
  <si>
    <t>4434.9 (+49)</t>
  </si>
  <si>
    <t>8869.8 (+61)</t>
  </si>
  <si>
    <t>18.354 (−46)</t>
  </si>
  <si>
    <t>36.708 (−34)</t>
  </si>
  <si>
    <t>73.416 (−22)</t>
  </si>
  <si>
    <t>146.83 (−10)</t>
  </si>
  <si>
    <t>293.66 (+2)</t>
  </si>
  <si>
    <t>587.33 (+14)</t>
  </si>
  <si>
    <t>1174.7 (+26)</t>
  </si>
  <si>
    <t>2349.3 (+38)</t>
  </si>
  <si>
    <t>4698.6 (+50)</t>
  </si>
  <si>
    <t>9397.3 (+62)</t>
  </si>
  <si>
    <t>D♯/E♭</t>
  </si>
  <si>
    <t>19.445 (−45)</t>
  </si>
  <si>
    <t>38.891 (−33)</t>
  </si>
  <si>
    <t>77.782 (−21)</t>
  </si>
  <si>
    <t>155.56 (−9)</t>
  </si>
  <si>
    <t>311.13 (+3)</t>
  </si>
  <si>
    <t>622.25 (+15)</t>
  </si>
  <si>
    <t>1244.5 (+27)</t>
  </si>
  <si>
    <t>2489.0 (+39)</t>
  </si>
  <si>
    <t>4978.0 (+51)</t>
  </si>
  <si>
    <t>9956.1 (+63)</t>
  </si>
  <si>
    <t>20.602 (−44)</t>
  </si>
  <si>
    <t>41.203 (−32)</t>
  </si>
  <si>
    <t>82.407 (−20)</t>
  </si>
  <si>
    <t>164.81 (−8)</t>
  </si>
  <si>
    <t>329.63 (+4)</t>
  </si>
  <si>
    <t>659.26 (+16)</t>
  </si>
  <si>
    <t>1318.5 (+28)</t>
  </si>
  <si>
    <t>2637.0 (+40)</t>
  </si>
  <si>
    <t>5274.0 (+52)</t>
  </si>
  <si>
    <t>10548 (+64)</t>
  </si>
  <si>
    <t>21.827 (−43)</t>
  </si>
  <si>
    <t>43.654 (−31)</t>
  </si>
  <si>
    <t>87.307 (−19)</t>
  </si>
  <si>
    <t>174.61 (−7)</t>
  </si>
  <si>
    <t>349.23 (+5)</t>
  </si>
  <si>
    <t>698.46 (+17)</t>
  </si>
  <si>
    <t>1396.9 (+29)</t>
  </si>
  <si>
    <t>2793.8 (+41)</t>
  </si>
  <si>
    <t>5587.7 (+53)</t>
  </si>
  <si>
    <t>11175 (+65)</t>
  </si>
  <si>
    <t>F♯/G♭</t>
  </si>
  <si>
    <t>23.125 (−42)</t>
  </si>
  <si>
    <t>46.249 (−30)</t>
  </si>
  <si>
    <t>92.499 (−18)</t>
  </si>
  <si>
    <t>185.00 (−6)</t>
  </si>
  <si>
    <t>369.99 (+6)</t>
  </si>
  <si>
    <t>739.99 (+18)</t>
  </si>
  <si>
    <t>1480.0 (+30)</t>
  </si>
  <si>
    <t>2960.0 (+42)</t>
  </si>
  <si>
    <t>5919.9 (+54)</t>
  </si>
  <si>
    <t>11840 (+66)</t>
  </si>
  <si>
    <t>24.500 (−41)</t>
  </si>
  <si>
    <t>48.999 (−29)</t>
  </si>
  <si>
    <t>97.999 (−17)</t>
  </si>
  <si>
    <t>196.00 (−5)</t>
  </si>
  <si>
    <t>392.00 (+7)</t>
  </si>
  <si>
    <t>783.99 (+19)</t>
  </si>
  <si>
    <t>1568.0 (+31)</t>
  </si>
  <si>
    <t>3136.0 (+43)</t>
  </si>
  <si>
    <t>6271.9 (+55)</t>
  </si>
  <si>
    <t>12544 (+67)</t>
  </si>
  <si>
    <t>G♯/A♭</t>
  </si>
  <si>
    <t>25.957 (−40)</t>
  </si>
  <si>
    <t>51.913 (−28)</t>
  </si>
  <si>
    <t>103.83 (−16)</t>
  </si>
  <si>
    <t>207.65 (−4)</t>
  </si>
  <si>
    <t>415.30 (+8)</t>
  </si>
  <si>
    <t>830.61 (+20)</t>
  </si>
  <si>
    <t>1661.2 (+32)</t>
  </si>
  <si>
    <t>3322.4 (+44)</t>
  </si>
  <si>
    <t>6644.9 (+56)</t>
  </si>
  <si>
    <t>13290 (+68)</t>
  </si>
  <si>
    <t>27.500 (−39)</t>
  </si>
  <si>
    <t>55.000 (−27)</t>
  </si>
  <si>
    <t>110.00 (−15)</t>
  </si>
  <si>
    <t>220.00 (−3)</t>
  </si>
  <si>
    <t>440.00 (+9)</t>
  </si>
  <si>
    <t>880.00 (+21)</t>
  </si>
  <si>
    <t>1760.0 (+33)</t>
  </si>
  <si>
    <t>3520.0 (+45)</t>
  </si>
  <si>
    <t>7040.0 (+57)</t>
  </si>
  <si>
    <t>14080 (+69)</t>
  </si>
  <si>
    <t>A♯/B♭</t>
  </si>
  <si>
    <t>29.135 (−38)</t>
  </si>
  <si>
    <t>58.270 (−26)</t>
  </si>
  <si>
    <t>116.54 (−14)</t>
  </si>
  <si>
    <t>233.08 (−2)</t>
  </si>
  <si>
    <t>466.16 (+10)</t>
  </si>
  <si>
    <t>932.33 (+22)</t>
  </si>
  <si>
    <t>1864.7 (+34)</t>
  </si>
  <si>
    <t>3729.3 (+46)</t>
  </si>
  <si>
    <t>7458.6 (+58)</t>
  </si>
  <si>
    <t>14917 (+70)</t>
  </si>
  <si>
    <t>30.868 (−37)</t>
  </si>
  <si>
    <t>61.735 (−25)</t>
  </si>
  <si>
    <t>123.47 (−13)</t>
  </si>
  <si>
    <t>246.94 (−1)</t>
  </si>
  <si>
    <t>493.88 (+11)</t>
  </si>
  <si>
    <t>987.77 (+23)</t>
  </si>
  <si>
    <t>1975.5 (+35)</t>
  </si>
  <si>
    <t>3951.1 (+47)</t>
  </si>
  <si>
    <t>7902.1 (+59)</t>
  </si>
  <si>
    <t>15804 (+71)</t>
  </si>
  <si>
    <t>一些解释：</t>
  </si>
  <si>
    <t>Octave 0-9 表示八度区。C-D-E-F-G-A-B 为 C 大调七个主音：do re mi fa so la si（简谱记为 1 到 7）。科学音调记号法（scientific pitch notation）就是将上面这两者合在一起表示一个音，比如 A4 就是中音 la，频率为 440 Hz。C5 则是高音 do（简谱是 1 上面加一个点）。</t>
  </si>
  <si>
    <t>升一个八度也就是把频率翻番。A5 频率 880 Hz，正好是 A4 的两倍。一个八度区有 12 个半音，就是把这两倍的频率间隔等比分为 12，所以两个相邻半音的频率比是 2 开 12 次方，也即大约 1.05946。这种定音高的办法叫做 twelve-tone equal temperament，简称 12-TET。</t>
  </si>
  <si>
    <t>两个半音之间再等比分可以分 100 份，每份叫做一音分（cent）。科学音调记号加上音分一般足够表示准确的音高了。比如 A4 +30 表示比 440 Hz 高 30 音分，可以算出来具体频率是 447.69 Hz。</t>
  </si>
  <si>
    <t>A4 又称 A440，是国际标准音高。钢琴调音师或者大型乐队乐器之间调音都用这个频率。</t>
  </si>
  <si>
    <t>C4 又称 Middle C，是中音八度的开始。有一种音高标定方法是和 C4 比较相隔的半音数，比方 B4 就是 +11，表示比 C4 高 11 个半音。</t>
  </si>
  <si>
    <t>MIDI note number p 和频率 f 转换关系：p = 69 + 12 x log2(f/440)。这实际上就是把 C4 定为 MIDI note number 60，然后每升降一个半音就加减一个号码。</t>
  </si>
  <si>
    <t>可以看到 E-F 和 B-C 的间隔是一个半音，而七个主音别的间隔都是两个半音，也叫一个全音。</t>
  </si>
  <si>
    <t>音高间隔（音程）有各类说法，某些间隔的两个音同时发出来会比较令人身心愉快，比如频率比 3:2 的 perfect fifth 在各类乐曲都会广泛用作和弦。具体音高间隔名称：</t>
  </si>
  <si>
    <t>间隔半音数</t>
  </si>
  <si>
    <t>间隔名</t>
  </si>
  <si>
    <t>大致频率比</t>
  </si>
  <si>
    <t>perfect unison 完全一度</t>
  </si>
  <si>
    <t>minor second 小二度</t>
  </si>
  <si>
    <t>major second 大二度</t>
  </si>
  <si>
    <t>minor third 小三度</t>
  </si>
  <si>
    <t>major third 大三度</t>
  </si>
  <si>
    <t>perfect fourth 完全四度</t>
  </si>
  <si>
    <t>augmented fourth 增四度 </t>
  </si>
  <si>
    <t>diminished fifth 减五度</t>
  </si>
  <si>
    <t>45:32 </t>
  </si>
  <si>
    <t>perfect fifth 完全五度</t>
  </si>
  <si>
    <t>minor sixth 小六度</t>
  </si>
  <si>
    <t>major sixth 大六度</t>
  </si>
  <si>
    <t>minor seventh 小七度</t>
  </si>
  <si>
    <t>major seventh 大七度</t>
  </si>
  <si>
    <t>perfect octave 完全八度</t>
  </si>
  <si>
    <t>人的听觉和很多音乐设备的频率范围是 20 Hz - 20000 Hz，但是成年人一般只能听到 30 - 15000 Hz，所以上面表格的频率范围已经足够用了。</t>
  </si>
  <si>
    <t>上次说到现在最通用的音阶是把一个八度的倍频等比分为 12 份，那么为什么要这么做呢？在开始讲这个之前，先看两条人民群众总结的规律：</t>
  </si>
  <si>
    <t>人耳对音高的感觉主要取决于频率比，而不是频率差。比如 220 Hz 到 440 Hz 的音差，和 440 Hz 到 880 Hz 的音差，一般人认为是一样大的音差。</t>
  </si>
  <si>
    <t>如果两个音的频率比值很接近小整数比，那么这两个音同时发出来人会感觉很和谐。比如 440 Hz 和 660 Hz 的两个音，频率比值是 2:3，一般叫做完全五度，同时发出来很和谐。</t>
  </si>
  <si>
    <t>纯律</t>
  </si>
  <si>
    <t>十二平均律</t>
  </si>
  <si>
    <t>C:C</t>
  </si>
  <si>
    <t>D:C</t>
  </si>
  <si>
    <t>E:C</t>
  </si>
  <si>
    <t>F:C</t>
  </si>
  <si>
    <t>G:C</t>
  </si>
  <si>
    <t>A:C</t>
  </si>
  <si>
    <t>B:C</t>
  </si>
  <si>
    <t>C’:C</t>
  </si>
  <si>
    <t>标准钢琴琴键有大有小，大的白色琴键是主音，小的黑色琴键是主音升降一个半音后的辅音。一般钢琴是 88 个琴键，从 A0 到 C8。知道了上面这些，看到钢琴键盘应该就马上能找到 Middle C 了</t>
    <phoneticPr fontId="1" type="noConversion"/>
  </si>
  <si>
    <t>1:1</t>
  </si>
  <si>
    <t>16:15</t>
  </si>
  <si>
    <t>9:8</t>
  </si>
  <si>
    <t>6:5</t>
  </si>
  <si>
    <t>5:4</t>
  </si>
  <si>
    <t>4:3</t>
  </si>
  <si>
    <t>64:45</t>
  </si>
  <si>
    <t>3:2</t>
  </si>
  <si>
    <t>8:5</t>
  </si>
  <si>
    <t>5:3</t>
  </si>
  <si>
    <t>16:9</t>
  </si>
  <si>
    <t>15:8</t>
  </si>
  <si>
    <t>2:1</t>
  </si>
  <si>
    <t>至于为什么有以上的规律，这个问题太深刻了，折磨了一代又一代的音乐家、数学家、物理学家、心理学家、生理学家、哲学家……这里不深入说了，就把它们当作公理好了。</t>
    <phoneticPr fontId="1" type="noConversion"/>
  </si>
  <si>
    <t>有了上述公理，怎么样来定音阶？早在公元前，伟大的毕达哥拉斯就发现了小整数频率比很和谐的规律。首先最简单的整数比是 1:2，接下来分别是 2:3 和 3:4，于是他先定出四个音（按照现在的写法）：F:C=4:3，G:C=3:2，高八度C’:C=2:1。然后他把 F 和 G 之间的间隔 9:8 叫做一个全音，按照 9:8 全音间隔填补空档他定下来这样的音阶：</t>
    <phoneticPr fontId="1" type="noConversion"/>
  </si>
  <si>
    <t>C:C = 1:1 = 1.0000</t>
    <phoneticPr fontId="1" type="noConversion"/>
  </si>
  <si>
    <t>D:C = 9:8 = 1.1250</t>
    <phoneticPr fontId="1" type="noConversion"/>
  </si>
  <si>
    <t>E:C = 81:64 = 1.2656</t>
    <phoneticPr fontId="1" type="noConversion"/>
  </si>
  <si>
    <t>F:C = 4:3 = 1.3333</t>
    <phoneticPr fontId="1" type="noConversion"/>
  </si>
  <si>
    <t>G:C = 3:2 = 1.5000</t>
    <phoneticPr fontId="1" type="noConversion"/>
  </si>
  <si>
    <t>A:C = 27:16 = 1.6875</t>
    <phoneticPr fontId="1" type="noConversion"/>
  </si>
  <si>
    <t>B:C = 243:128 = 1.8984</t>
    <phoneticPr fontId="1" type="noConversion"/>
  </si>
  <si>
    <t>C’:C = 2:1 = 2.0000</t>
    <phoneticPr fontId="1" type="noConversion"/>
  </si>
  <si>
    <t>可以看到 E:F 和 B:C’ 之间的间隔是 256:243 = 1.0535，差不多是 9:8 的一半，毕达哥拉斯把这种间隔叫做半音。这样定出来的音阶其实已经蛮好用的了，现在把这种用整数比定音的方法叫做纯律（just intonation）。纯律的主要问题是有些音之间的比例很古怪，比如上面的 F:D 是 32:27，非常不和谐。另外，巴赫同学后来出了各种奇怪变调的钢琴曲，而纯律变调之后音阶就变了，于是巴赫就开始鼓吹当时已经建立起来的平均律（equal temperament）了。</t>
    <phoneticPr fontId="1" type="noConversion"/>
  </si>
  <si>
    <t>平均律沿用了这种七个基本音的全音阶（diatonic scale）系统，但是让全音刚好等于两个半音，这样无论如何变调，整个音阶只要偏移一下即可，而各个音之间音程不变。我们知道，一个八度之间是 5 个全音间隔 + 2 个半音间隔，也就是 12 个半音间隔，于是就一刀切，直接把 2 等比分 12 份就是半音间隔了。下面是十二平均律（12-TET）和毕达哥拉斯的纯律的对比：</t>
    <phoneticPr fontId="1" type="noConversion"/>
  </si>
  <si>
    <t>可以看到，十二平均律和纯律很接近，特别是 F:C 完全四度和 G:C 完全五度非常接近应有的整数比 4:3 和 3:2，只相差 2 个音分（cents）。一般没有受过音乐训练的人对 20 音分以下的音差已经不敏感；即使专业调音师，不靠仪器的话 5 个音分也基本是分辨极限了。所以在实际使用中，十二平均律对完全五度这么小的误差是完全可以忽略的。</t>
    <phoneticPr fontId="1" type="noConversion"/>
  </si>
  <si>
    <t>理论上说，如果把 2 等比分为别的份数，也可以制造出可用的音阶。一个例子是等比分为 29 份，这样出来的音阶比 12-TET 更接近 3:2，但是大三度 5:4 却惨不忍睹，相差很大。一个小细节是有些音程是互补的，比如某个平均律如果很接近 G:C 3:2 完全五度，那么 C’:G 4:3 完全四度也同时被搞定。一般人们评价一个平均律，主要看它和大三度、完全五度、大六度的偏差总和（同时搞定的互补音程为小六度、完全四度、小三度），计算表明，比十二平均律更好的下一个音律是十九平均律，接下去更好的分别是 31、34 和 53。可以想象，即使是十九平均律，钢琴键盘也会复杂很多，而且由于多了很多音，不和谐的音高组合也会更多，所以非十二等分的平均律使用很有限，现在一般只局限在理论研究上。</t>
    <phoneticPr fontId="1" type="noConversion"/>
  </si>
  <si>
    <t>中国古代各类弦乐器五声音阶宫商角徵羽按照五度相生律定音，演奏起来非常优美。五度相生律可以算是纯律的一种，中国人发现这个小整数比的规律应该比毕达哥拉斯早好多年。不过到了现代，特别是键盘乐器的普及以及大型乐队的配合需要，最后还是十二平均律胜出了。</t>
    <phoneticPr fontId="1" type="noConversion"/>
  </si>
  <si>
    <t>为什么小整数频率比的两个音比较和谐？这个问题，要从乐音的谐波说起。</t>
    <phoneticPr fontId="1" type="noConversion"/>
  </si>
  <si>
    <t>一般乐器发出的音都不是纯频率的音，而是由好多谐波（harmonic）组成的；其中频率最低的那个通常最强，叫做基音。比如小提琴发出音高 A4 的音，指的就是其基音是 440 Hz，而声波频谱里面同时有二次谐波 880 Hz、三次谐波 1320 Hz、四次谐波……等等。不同乐器发出的声音，其谐波强度分布往往完全不同，因此音色（timbre）也就不同（比如高谐波强的话听起来就亮一些）。乐音含有谐波这个特性和小整数比的和音规则有什么关系？以完全五度举例，A4 和 E5 的两个乐音，频率比为 2:3，而 A4 的三次谐波和 E5 的二次谐波刚好重合，都是 1320 Hz。相隔完全五度的两个乐音同时听起来比较好听，是不是因为它们大部分的谐波都重合了？</t>
    <phoneticPr fontId="1" type="noConversion"/>
  </si>
  <si>
    <t>于是就有科学家做实验了。人们发现，把纯频率的音（不含谐波）A4 和 E5 同时发出来听并不怎么好听。还有人用电脑制作了扭曲的乐音，把 N 次谐波搞成 Nlog(2.1)/log(2) 倍（谐波从 2 倍拉宽到 2.1 倍，自然界是没有这种声音的），然后发现谐波重合的扭曲乐音同时听起来还比较和谐，而它们的基音却不是小整数比了。还有一些别的实验，但是结论都是差不多的，就是两个乐音和谐主要是因为他们的谐波重合，转换为数学语言，就是基音必须是小整数比。</t>
    <phoneticPr fontId="1" type="noConversion"/>
  </si>
  <si>
    <t>音程</t>
    <phoneticPr fontId="1" type="noConversion"/>
  </si>
  <si>
    <t>为啥谐波重合就好听呢？这是因为，如果谐波不重合但是距离很近，它们就会干涉形成低频率的拍（beat），这种低频拍音嗡嗡作响，非常难听。两个频率距离多近才会形成不好听的拍？人们一般把这个临界距离叫做临界频宽（critical bandwidth），处于临界频宽之内的两个频率就会互相干涉。这个临界频宽本身是频率的函数，频率越高，临界频宽带也就越宽。</t>
    <phoneticPr fontId="1" type="noConversion"/>
  </si>
  <si>
    <t>临界频宽在低频区是 100 Hz 左右；高频区大约是本身频率的 1/6。比如，900 Hz 的临界频宽是 150 Hz，这就是说，750 - 1050 Hz 频率范围内的音都会和 900 Hz 的音干涉。用音乐术语，1/6 频宽介于大二度和小三度之间（上图所示 2&amp;3 semitones 之间），所以在高频区域里，间隔一个或者两个半音的音就会相互干涉形成不愉悦的拍。</t>
    <phoneticPr fontId="1" type="noConversion"/>
  </si>
  <si>
    <t>乐音的高谐波排列非常紧密，比如 A4 的 10 次谐波和 11 次谐波分别是 4.4 kHz 4.84 kHz，间隔不到两个半音，所以高谐波之间就会相互干涉。如果对小提琴乐音做频谱分析，会发现它有很多谐波强度很弱，造成的结果是各个强谐波之间间隔都比较大，不在互相的临界频宽内，所以小提琴乐音本身极少有难听的拍，这也正是小提琴乐音很好听的原因之一。有些乐器音高很准，但是发出声音很难听，可能就是因为它自己有很多谐波互相打架，形成很多低频拍，听起来很难受。</t>
    <phoneticPr fontId="1" type="noConversion"/>
  </si>
  <si>
    <t>如果还有人偏要问到底，为什么耳蜗里小毛毛运动别扭，人就觉得难受呢？有些问题呢，它就是没什么道理的。好不好听这本身就是个主观的问题，如果你偏要问为什么，那估计就只好把你的脑袋砸开来研究了……现代脑科学的研究已经越来越科学，越来越定量化，但是像乐音和谐度这类宏观问题上，基本上也只有一些假说，信仰假说的人多了，也就成了学派。有些哲学家对脑科学前景非常悲观，认为人自己的主观意志去研究自己的主观意志，是很难有结果的。这个说法倒是过于杞人忧天了，目前人类对脑子的了解还远远不够，可以研究的东西还多得很，不过也许在遥远的未来，人就真的要面对无法继续研究自己的问题了。</t>
    <phoneticPr fontId="1" type="noConversion"/>
  </si>
  <si>
    <t>说了这么多，可千万不要以为知道了一个小整数比就可以谱曲了。翻开和声学，你会发现正统的和声规则要复杂得多，甚至用什么乐器来演奏，调起多高，是小型音乐厅还是露天演奏，等等都是需要考虑的因素。几百年前就有很多音乐家搞出各类奇奇怪怪的规则，而现代人类更是从胎教开始就逐渐接受正统的规则，作曲人即使没有受过专业训练也会在潜移默化中将这些规律继续发扬光大。事实上音乐制作已经在人类社会中形成了巨大的正反馈，某些和声规则逐渐被强化。原始部落的人们听到贝多芬的曲子，并不会神魂颠倒。所以说，可能也只有最朴素的小整数比和声规律还有一定的生理基础，现在复杂的和声学则基本上算是美学，没有道理可言。我曾经看到有人对着乐谱做傅立叶分析，研究为什么某些和声听起来好听。挺美好的音乐，偏偏硬要去扣个科学的帽子，我想说，你从小就是听这些和声规则长大的，能不觉得好听么……这个就跟我受了十多年政治教育就再也不会怀疑马克思列宁主义了是一个道理。</t>
    <phoneticPr fontId="1" type="noConversion"/>
  </si>
  <si>
    <t>Fang 在《写作的重要性》一文中提到：看完书不写读后就好像做完题目不写成 paper，不是好习惯。在这个方针的指引下，我在过去几年看的音乐方面的书该摘录的前面三篇差不多写完了，这里补点小问题作个尾巴吧。</t>
    <phoneticPr fontId="1" type="noConversion"/>
  </si>
  <si>
    <t>音高感知：比较流行的理论是，几百赫兹以下大脑是直接数周期来确定音高的，1600 Hz 以上则主要靠内耳频谱分析，中间频率段两种机制都在起作用。</t>
    <phoneticPr fontId="1" type="noConversion"/>
  </si>
  <si>
    <t>声源定位：人有俩耳朵，定位声源主要靠分辨声音到达耳朵的时间差。比较令人惊讶的是，虽然声音感知的神经脉冲有 100 微秒，但是人可以分辨的时间差在 10 微秒的量级。另外，左右耳的声强和频谱对比也对判断声源有帮助，比如，右边来的声音在右耳听起来会亮一些，因为声波经过圆型头部的时候高频被吸收得多。</t>
    <phoneticPr fontId="1" type="noConversion"/>
  </si>
  <si>
    <t>还有一个有趣的现象是声源的上下定位。人即使不移动脑袋，也是可以感觉到正前方声源的上下位置的，而这种声源对左右耳完全对称，因此也不可能用左右耳差异来判断位置。实验发现，如果堵上耳朵或者改变耳廓形状，人的声源上下定位能力就会减弱或者消失。流行理论是人对预定声音的频谱会有记忆，而声源上下移动会在耳廓上产生不同的反射模式，特别会影响高频部分的频谱，人估计就是从高频频谱里得到声源位置的暗示的。实验也发现，如果编造不熟悉的声音，人对声源高度的判断就不会那么准确了。</t>
    <phoneticPr fontId="1" type="noConversion"/>
  </si>
  <si>
    <t>另外，一般在房间里声源到接受者耳朵里不光有直接声波还有大量墙壁和地面的反射波。首先，人会选取最先听到的直接声波判断出声源的位置；其次，人也会利用反射波的信息来感知房间大小。实验发现，如果把房间墙壁搞成完全吸收声波，哪怕再小的房间人也不会感觉到房间很小（当然这个实验需要把人眼睛蒙起来）。</t>
    <phoneticPr fontId="1" type="noConversion"/>
  </si>
  <si>
    <t>鸡尾酒会效应：Cocktail party effect，听觉系统的一种选择能力。在鸡尾酒会上即使周围噪声很大，我们还是可以听到朋友说的内容。听音乐时，人如果专注于一样乐器，也可以跟随那个乐器的声音。这种能把注意力集中在某个声音上的现象就是鸡尾酒会效应，这和视觉里人可以在纷乱的背景中看出熟悉的图形可能是类似的机制。大凡自然界的声音、人声和乐器都会略有噪音和瑕疵，实验发现人对声音里面这种瑕疵非常敏感，这也很可能是人分辨相近声音的主要线索。两个人说话或者两种乐器演奏，频谱一般有很明显的不同，所以人能分辨出来并不奇怪；两把几乎相同的小提琴一起演奏，人还是可以听出有两把小提琴，这是因为两个乐器各有各的瑕疵，演奏的人也可能技巧略有不同。电子合成的乐音如果不加瑕疵，听起来很机械，完全没有美感，两个不加瑕疵的电子小提琴一起演奏，人是分辨不出来的。可见完美的世界并不美好，我们需要一定的个性才能让这个世界变得有趣。</t>
    <phoneticPr fontId="1" type="noConversion"/>
  </si>
  <si>
    <t>最后推荐一本书 Music, Cognition, and Computerized Sound: An Introduction to Psychoacoustics，这本书是 Stanford Center for Computer Research in Music and Acoustics (CCRMA) 的一帮人根据教学经历整理的。这个多学科研究中心集结了音乐、计算机、电子和机械工程、物理和心理方面的大牛，成立多年虽无重大突破，但是成功改变了过去各个学科独自研究音乐的局面，算是在这个交叉学科领域走出了重要的一步。</t>
    <phoneticPr fontId="1" type="noConversion"/>
  </si>
  <si>
    <t>那么为什么低频的拍听起来难听呢？有人认为这和人耳的解剖学结构有关。匈牙利生物物理学家 Georg von Békésy 发现人的耳蜗里有很多小毛毛，功能是把外界声波在内耳液体中产生的振动转换为神经电信号，而且耳蜗的特殊生理结构导致每根小毛毛只对一小段频率的振动敏感。也就是说，耳蜗就是一个频谱分析仪；而小毛毛的敏感频率段，差不多就是相应频率的临界频宽。好的乐音因为没有互相打架的拍频，小毛毛们都会做优美的简谐运动，人就会觉得很愉快；相反，如果临界频宽内有两个频率的声音，有一些小毛毛就会受到两种频率的影响，运动起来比较别扭，所以人也觉得不怎么愉快。Békésy 这个发现是得了诺贝尔医学奖的，不过后来进一步的研究发现虽然他的理论基本成立，但是数据并不正确，主要是因为 Békésy 是拿死人耳朵做实验的，因为尸体失水，耳朵的频率响应也非常不同。不过诺贝尔奖发了就发了，也收不回了，Békésy 本人在晚年也否定了自己早期的一些研究。</t>
    <phoneticPr fontId="1" type="noConversion"/>
  </si>
  <si>
    <t>0x8n</t>
    <phoneticPr fontId="1" type="noConversion"/>
  </si>
  <si>
    <t>0x9n</t>
    <phoneticPr fontId="1" type="noConversion"/>
  </si>
  <si>
    <t>0xAn</t>
    <phoneticPr fontId="1" type="noConversion"/>
  </si>
  <si>
    <t>0xBn</t>
    <phoneticPr fontId="1" type="noConversion"/>
  </si>
  <si>
    <t>0xCn</t>
    <phoneticPr fontId="1" type="noConversion"/>
  </si>
  <si>
    <t>0xDn</t>
    <phoneticPr fontId="1" type="noConversion"/>
  </si>
  <si>
    <t>0xEn</t>
    <phoneticPr fontId="1" type="noConversion"/>
  </si>
  <si>
    <t>0xF0</t>
    <phoneticPr fontId="1" type="noConversion"/>
  </si>
  <si>
    <t>0xF1</t>
    <phoneticPr fontId="1" type="noConversion"/>
  </si>
  <si>
    <t>0xF2</t>
    <phoneticPr fontId="1" type="noConversion"/>
  </si>
  <si>
    <t>0xF3</t>
    <phoneticPr fontId="1" type="noConversion"/>
  </si>
  <si>
    <t>0xF4</t>
    <phoneticPr fontId="1" type="noConversion"/>
  </si>
  <si>
    <t>0xF5</t>
    <phoneticPr fontId="1" type="noConversion"/>
  </si>
  <si>
    <t>0xF6</t>
    <phoneticPr fontId="1" type="noConversion"/>
  </si>
  <si>
    <t>0xF7</t>
    <phoneticPr fontId="1" type="noConversion"/>
  </si>
  <si>
    <t>0xF8</t>
    <phoneticPr fontId="1" type="noConversion"/>
  </si>
  <si>
    <t>0xF9</t>
    <phoneticPr fontId="1" type="noConversion"/>
  </si>
  <si>
    <t>0xFA</t>
    <phoneticPr fontId="1" type="noConversion"/>
  </si>
  <si>
    <t>0xFB</t>
    <phoneticPr fontId="1" type="noConversion"/>
  </si>
  <si>
    <t>0xFC</t>
    <phoneticPr fontId="1" type="noConversion"/>
  </si>
  <si>
    <t>0xFD</t>
    <phoneticPr fontId="1" type="noConversion"/>
  </si>
  <si>
    <t>0xFE</t>
    <phoneticPr fontId="1" type="noConversion"/>
  </si>
  <si>
    <t>0xFF</t>
    <phoneticPr fontId="1" type="noConversion"/>
  </si>
  <si>
    <t>Honkytonk Piano</t>
    <phoneticPr fontId="1" type="noConversion"/>
  </si>
  <si>
    <t>Music box</t>
    <phoneticPr fontId="1" type="noConversion"/>
  </si>
  <si>
    <t>钢琴</t>
  </si>
  <si>
    <t>半音打击乐器</t>
  </si>
  <si>
    <t>风琴</t>
  </si>
  <si>
    <t>吉他</t>
  </si>
  <si>
    <t>贝司</t>
  </si>
  <si>
    <t>弦乐</t>
  </si>
  <si>
    <t>铜管</t>
  </si>
  <si>
    <t>簧管</t>
  </si>
  <si>
    <t>笛</t>
  </si>
  <si>
    <t>合成主音</t>
  </si>
  <si>
    <t>合成柔音</t>
  </si>
  <si>
    <t>合成效果</t>
  </si>
  <si>
    <t>民间乐器</t>
  </si>
  <si>
    <t>FX 8 (sci-fi)</t>
    <phoneticPr fontId="1" type="noConversion"/>
  </si>
  <si>
    <t>G</t>
    <phoneticPr fontId="1" type="noConversion"/>
  </si>
  <si>
    <t>F</t>
    <phoneticPr fontId="1" type="noConversion"/>
  </si>
  <si>
    <t>E</t>
    <phoneticPr fontId="1" type="noConversion"/>
  </si>
  <si>
    <t>D</t>
    <phoneticPr fontId="1" type="noConversion"/>
  </si>
  <si>
    <t>C</t>
    <phoneticPr fontId="1" type="noConversion"/>
  </si>
  <si>
    <t>B</t>
    <phoneticPr fontId="1" type="noConversion"/>
  </si>
  <si>
    <t>A</t>
    <phoneticPr fontId="1" type="noConversion"/>
  </si>
  <si>
    <r>
      <t>F</t>
    </r>
    <r>
      <rPr>
        <b/>
        <sz val="9"/>
        <color theme="0"/>
        <rFont val="宋体"/>
        <family val="3"/>
        <charset val="134"/>
        <scheme val="minor"/>
      </rPr>
      <t>#</t>
    </r>
    <r>
      <rPr>
        <b/>
        <sz val="11"/>
        <color theme="0"/>
        <rFont val="宋体"/>
        <family val="3"/>
        <charset val="134"/>
        <scheme val="minor"/>
      </rPr>
      <t xml:space="preserve">
G</t>
    </r>
    <r>
      <rPr>
        <b/>
        <sz val="9"/>
        <color theme="0"/>
        <rFont val="宋体"/>
        <family val="3"/>
        <charset val="134"/>
        <scheme val="minor"/>
      </rPr>
      <t>b</t>
    </r>
    <phoneticPr fontId="1" type="noConversion"/>
  </si>
  <si>
    <r>
      <t>D</t>
    </r>
    <r>
      <rPr>
        <b/>
        <sz val="9"/>
        <color theme="0"/>
        <rFont val="宋体"/>
        <family val="3"/>
        <charset val="134"/>
        <scheme val="minor"/>
      </rPr>
      <t>#</t>
    </r>
    <r>
      <rPr>
        <b/>
        <sz val="11"/>
        <color theme="0"/>
        <rFont val="宋体"/>
        <family val="3"/>
        <charset val="134"/>
        <scheme val="minor"/>
      </rPr>
      <t xml:space="preserve">
E</t>
    </r>
    <r>
      <rPr>
        <b/>
        <sz val="9"/>
        <color theme="0"/>
        <rFont val="宋体"/>
        <family val="3"/>
        <charset val="134"/>
        <scheme val="minor"/>
      </rPr>
      <t>b</t>
    </r>
    <phoneticPr fontId="1" type="noConversion"/>
  </si>
  <si>
    <r>
      <t>C</t>
    </r>
    <r>
      <rPr>
        <b/>
        <sz val="9"/>
        <color theme="0"/>
        <rFont val="宋体"/>
        <family val="3"/>
        <charset val="134"/>
        <scheme val="minor"/>
      </rPr>
      <t>#</t>
    </r>
    <r>
      <rPr>
        <b/>
        <sz val="11"/>
        <color theme="0"/>
        <rFont val="宋体"/>
        <family val="3"/>
        <charset val="134"/>
        <scheme val="minor"/>
      </rPr>
      <t xml:space="preserve">
D</t>
    </r>
    <r>
      <rPr>
        <b/>
        <sz val="9"/>
        <color theme="0"/>
        <rFont val="宋体"/>
        <family val="3"/>
        <charset val="134"/>
        <scheme val="minor"/>
      </rPr>
      <t>b</t>
    </r>
    <phoneticPr fontId="1" type="noConversion"/>
  </si>
  <si>
    <r>
      <t>A</t>
    </r>
    <r>
      <rPr>
        <b/>
        <sz val="9"/>
        <color theme="0"/>
        <rFont val="宋体"/>
        <family val="3"/>
        <charset val="134"/>
        <scheme val="minor"/>
      </rPr>
      <t>#</t>
    </r>
    <r>
      <rPr>
        <b/>
        <sz val="11"/>
        <color theme="0"/>
        <rFont val="宋体"/>
        <family val="3"/>
        <charset val="134"/>
        <scheme val="minor"/>
      </rPr>
      <t xml:space="preserve">
B</t>
    </r>
    <r>
      <rPr>
        <b/>
        <sz val="9"/>
        <color theme="0"/>
        <rFont val="宋体"/>
        <family val="3"/>
        <charset val="134"/>
        <scheme val="minor"/>
      </rPr>
      <t>b</t>
    </r>
    <phoneticPr fontId="1" type="noConversion"/>
  </si>
  <si>
    <r>
      <t>G</t>
    </r>
    <r>
      <rPr>
        <b/>
        <sz val="9"/>
        <color theme="0"/>
        <rFont val="宋体"/>
        <family val="3"/>
        <charset val="134"/>
        <scheme val="minor"/>
      </rPr>
      <t>#</t>
    </r>
    <r>
      <rPr>
        <b/>
        <sz val="11"/>
        <color theme="0"/>
        <rFont val="宋体"/>
        <family val="3"/>
        <charset val="134"/>
        <scheme val="minor"/>
      </rPr>
      <t xml:space="preserve">
A</t>
    </r>
    <r>
      <rPr>
        <b/>
        <sz val="9"/>
        <color theme="0"/>
        <rFont val="宋体"/>
        <family val="3"/>
        <charset val="134"/>
        <scheme val="minor"/>
      </rPr>
      <t>b</t>
    </r>
    <phoneticPr fontId="1" type="noConversion"/>
  </si>
  <si>
    <t>乐器类别</t>
    <phoneticPr fontId="1" type="noConversion"/>
  </si>
  <si>
    <t>音色位置</t>
    <phoneticPr fontId="1" type="noConversion"/>
  </si>
  <si>
    <t/>
  </si>
  <si>
    <t>试音</t>
    <phoneticPr fontId="1" type="noConversion"/>
  </si>
  <si>
    <t>大钢琴（声学钢琴）</t>
  </si>
  <si>
    <t>明亮的钢琴</t>
  </si>
  <si>
    <t>电钢琴</t>
  </si>
  <si>
    <t>酒吧钢琴</t>
  </si>
  <si>
    <t>柔和的电钢琴</t>
  </si>
  <si>
    <t>加合唱效果的电钢琴</t>
  </si>
  <si>
    <t>羽管键琴（拨弦古钢琴）</t>
  </si>
  <si>
    <t>科拉维科特琴（击弦古钢琴）</t>
  </si>
  <si>
    <t>钢片琴</t>
  </si>
  <si>
    <t>钟琴</t>
  </si>
  <si>
    <t>八音盒</t>
  </si>
  <si>
    <t>颤音琴</t>
  </si>
  <si>
    <t>马林巴</t>
  </si>
  <si>
    <t>木琴</t>
  </si>
  <si>
    <t>管钟</t>
  </si>
  <si>
    <t>大扬琴</t>
  </si>
  <si>
    <t>击杆风琴</t>
  </si>
  <si>
    <t>打击式风琴</t>
  </si>
  <si>
    <t>摇滚风琴</t>
  </si>
  <si>
    <t>教堂风琴</t>
  </si>
  <si>
    <t>簧管风琴</t>
  </si>
  <si>
    <t>手风琴</t>
  </si>
  <si>
    <t>口琴</t>
  </si>
  <si>
    <t>探戈手风琴</t>
  </si>
  <si>
    <t>尼龙弦吉他</t>
  </si>
  <si>
    <t>钢弦吉他</t>
  </si>
  <si>
    <t>爵士电吉他</t>
  </si>
  <si>
    <t>清音电吉他</t>
  </si>
  <si>
    <t>闷音电吉他</t>
  </si>
  <si>
    <t>加驱动效果的电吉他</t>
  </si>
  <si>
    <t>加失真效果的电吉他</t>
  </si>
  <si>
    <t>吉他和音</t>
  </si>
  <si>
    <t>大贝司（声学贝司）</t>
  </si>
  <si>
    <t>电贝司（指弹）</t>
  </si>
  <si>
    <t>电贝司（拨片）</t>
  </si>
  <si>
    <t>无品贝司</t>
  </si>
  <si>
    <t>掌击Bass 1</t>
  </si>
  <si>
    <t>掌击Bass 2</t>
  </si>
  <si>
    <t>电子合成Bass 1</t>
  </si>
  <si>
    <t>电子合成Bass 2</t>
  </si>
  <si>
    <t>小提琴</t>
  </si>
  <si>
    <t>中提琴</t>
  </si>
  <si>
    <t>大提琴</t>
  </si>
  <si>
    <t>低音大提琴</t>
  </si>
  <si>
    <t>弦乐群颤音音色</t>
  </si>
  <si>
    <t>弦乐群拨弦音色</t>
  </si>
  <si>
    <t>竖琴</t>
  </si>
  <si>
    <t>定音鼓</t>
  </si>
  <si>
    <t>弦乐合奏音色1</t>
  </si>
  <si>
    <t>弦乐合奏音色2</t>
  </si>
  <si>
    <t>合成弦乐合奏音色1</t>
  </si>
  <si>
    <t>合成弦乐合奏音色2</t>
  </si>
  <si>
    <t>人声合唱“啊”</t>
  </si>
  <si>
    <t>人声“嘟”</t>
  </si>
  <si>
    <t>合成人声</t>
  </si>
  <si>
    <t>管弦乐敲击齐奏</t>
  </si>
  <si>
    <t>小号</t>
  </si>
  <si>
    <t>长号</t>
  </si>
  <si>
    <t>大号</t>
  </si>
  <si>
    <t>加弱音器小号</t>
  </si>
  <si>
    <t>法国号（圆号）</t>
  </si>
  <si>
    <t>铜管组（铜管乐器合奏音色）</t>
  </si>
  <si>
    <t>合成铜管音色1</t>
  </si>
  <si>
    <t>合成铜管音色2</t>
  </si>
  <si>
    <t>高音萨克斯风</t>
  </si>
  <si>
    <t>次中音萨克斯风</t>
  </si>
  <si>
    <t>中音萨克斯风</t>
  </si>
  <si>
    <t>低音萨克斯风</t>
  </si>
  <si>
    <t>双簧管</t>
  </si>
  <si>
    <t>英国管</t>
  </si>
  <si>
    <t>巴松（大管）</t>
  </si>
  <si>
    <t>单簧管（黑管）</t>
  </si>
  <si>
    <t>短笛</t>
  </si>
  <si>
    <t>长笛</t>
  </si>
  <si>
    <t>竖笛</t>
  </si>
  <si>
    <t>排箫</t>
  </si>
  <si>
    <t>吹瓶口</t>
  </si>
  <si>
    <t>日本尺八</t>
  </si>
  <si>
    <t>口哨声</t>
  </si>
  <si>
    <t>奥卡雷那</t>
  </si>
  <si>
    <t>合成主音1（方波）</t>
  </si>
  <si>
    <t>合成主音2（锯齿波）</t>
  </si>
  <si>
    <t>合成主音3</t>
  </si>
  <si>
    <t>合成主音4</t>
  </si>
  <si>
    <t>合成主音5</t>
  </si>
  <si>
    <t>合成主音6（人声）</t>
  </si>
  <si>
    <t>合成主音7（平行五度）</t>
  </si>
  <si>
    <t>合成主音8（贝司加主音）</t>
  </si>
  <si>
    <t>合成音色1（新世纪）</t>
  </si>
  <si>
    <t>合成音色2 （温暖）</t>
  </si>
  <si>
    <t>合成音色3</t>
  </si>
  <si>
    <t>合成音色4 （合唱）</t>
  </si>
  <si>
    <t>合成音色5</t>
  </si>
  <si>
    <t>合成音色6 （金属声）</t>
  </si>
  <si>
    <t>合成音色7 （光环）</t>
  </si>
  <si>
    <t>合成音色8</t>
  </si>
  <si>
    <t>合成效果 1 雨声</t>
  </si>
  <si>
    <t>合成效果 2 音轨</t>
  </si>
  <si>
    <t>合成效果 3 水晶</t>
  </si>
  <si>
    <t>合成效果 4 大气</t>
  </si>
  <si>
    <t>合成效果 5 明亮</t>
  </si>
  <si>
    <t>合成效果 6 鬼怪</t>
  </si>
  <si>
    <t>合成效果 7 回声</t>
  </si>
  <si>
    <t>合成效果 8 科幻</t>
  </si>
  <si>
    <t>西塔尔（印度）</t>
  </si>
  <si>
    <t>班卓琴（美洲）</t>
  </si>
  <si>
    <t>三昧线（日本）</t>
  </si>
  <si>
    <t>十三弦筝（日本）</t>
  </si>
  <si>
    <t>卡林巴</t>
  </si>
  <si>
    <t>风笛</t>
  </si>
  <si>
    <t>民族提琴</t>
  </si>
  <si>
    <t>山奈</t>
  </si>
  <si>
    <t>叮当铃</t>
  </si>
  <si>
    <t>拉丁打铃</t>
  </si>
  <si>
    <t>钢鼓</t>
  </si>
  <si>
    <t>木鱼</t>
  </si>
  <si>
    <t>太鼓</t>
  </si>
  <si>
    <t>通通鼓</t>
  </si>
  <si>
    <t>合成鼓</t>
  </si>
  <si>
    <t>铜钹</t>
  </si>
  <si>
    <t>吉他换把杂音</t>
  </si>
  <si>
    <t>呼吸声</t>
  </si>
  <si>
    <t>海浪声</t>
  </si>
  <si>
    <t>鸟鸣</t>
  </si>
  <si>
    <t>电话铃</t>
  </si>
  <si>
    <t>直升机</t>
  </si>
  <si>
    <t>鼓掌声</t>
  </si>
  <si>
    <t>枪声</t>
  </si>
  <si>
    <t>This message is most often sent by pressing down on the key after it "bottoms out". (kkkkkkk) is the key (note) number. (vvvvvvv) is the pressure value.</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</si>
</sst>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fonts count="15">
    <font>
      <sz val="11"/>
      <color theme="1"/>
      <name val="宋体"/>
      <family val="2"/>
      <charset val="134"/>
      <scheme val="minor"/>
    </font>
    <font>
      <sz val="9"/>
      <name val="宋体"/>
      <family val="2"/>
      <charset val="134"/>
      <scheme val="minor"/>
    </font>
    <font>
      <sz val="11"/>
      <color rgb="FF000000"/>
      <name val="宋体"/>
      <family val="3"/>
      <charset val="134"/>
      <scheme val="minor"/>
    </font>
    <font>
      <b/>
      <sz val="11"/>
      <color rgb="FF343434"/>
      <name val="Maven Pro"/>
      <family val="2"/>
    </font>
    <font>
      <sz val="11"/>
      <color rgb="FF343434"/>
      <name val="Maven Pro"/>
      <family val="2"/>
    </font>
    <font>
      <b/>
      <sz val="11"/>
      <color theme="1"/>
      <name val="宋体"/>
      <family val="3"/>
      <charset val="134"/>
      <scheme val="minor"/>
    </font>
    <font>
      <b/>
      <sz val="21"/>
      <color rgb="FF000000"/>
      <name val="宋体"/>
      <family val="3"/>
      <charset val="134"/>
    </font>
    <font>
      <sz val="10"/>
      <color rgb="FF000000"/>
      <name val="Verdana"/>
      <family val="2"/>
    </font>
    <font>
      <b/>
      <sz val="12"/>
      <color rgb="FF000000"/>
      <name val="宋体"/>
      <family val="3"/>
      <charset val="134"/>
    </font>
    <font>
      <b/>
      <sz val="12"/>
      <color theme="1"/>
      <name val="宋体"/>
      <family val="3"/>
      <charset val="134"/>
    </font>
    <font>
      <b/>
      <sz val="11"/>
      <name val="宋体"/>
      <family val="3"/>
      <charset val="134"/>
      <scheme val="minor"/>
    </font>
    <font>
      <b/>
      <sz val="11"/>
      <color theme="0"/>
      <name val="宋体"/>
      <family val="3"/>
      <charset val="134"/>
      <scheme val="minor"/>
    </font>
    <font>
      <b/>
      <sz val="9"/>
      <color theme="0"/>
      <name val="宋体"/>
      <family val="3"/>
      <charset val="134"/>
      <scheme val="minor"/>
    </font>
    <font>
      <sz val="6"/>
      <color theme="1"/>
      <name val="宋体"/>
      <family val="3"/>
      <charset val="134"/>
      <scheme val="minor"/>
    </font>
    <font>
      <sz val="12"/>
      <color theme="1"/>
      <name val="宋体"/>
      <family val="2"/>
      <charset val="134"/>
      <scheme val="minor"/>
    </font>
  </fonts>
  <fills count="10">
    <fill>
      <patternFill patternType="none"/>
    </fill>
    <fill>
      <patternFill patternType="gray125"/>
    </fill>
    <fill>
      <patternFill patternType="solid">
        <fgColor theme="0" tint="-0.14999847407452621"/>
        <bgColor indexed="64"/>
      </patternFill>
    </fill>
    <fill>
      <patternFill patternType="solid">
        <fgColor rgb="FFFFFFFF"/>
        <bgColor indexed="64"/>
      </patternFill>
    </fill>
    <fill>
      <patternFill patternType="solid">
        <fgColor theme="0"/>
        <bgColor indexed="64"/>
      </patternFill>
    </fill>
    <fill>
      <patternFill patternType="solid">
        <fgColor theme="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0.499984740745262"/>
        <bgColor indexed="64"/>
      </patternFill>
    </fill>
  </fills>
  <borders count="24">
    <border>
      <left/>
      <right/>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style="thin">
        <color rgb="FF000000"/>
      </right>
      <top style="thin">
        <color rgb="FF000000"/>
      </top>
      <bottom/>
      <diagonal/>
    </border>
    <border>
      <left style="thin">
        <color rgb="FF000000"/>
      </left>
      <right/>
      <top/>
      <bottom/>
      <diagonal/>
    </border>
    <border>
      <left style="thin">
        <color indexed="64"/>
      </left>
      <right style="thin">
        <color indexed="64"/>
      </right>
      <top style="thin">
        <color indexed="64"/>
      </top>
      <bottom style="thin">
        <color indexed="64"/>
      </bottom>
      <diagonal/>
    </border>
    <border>
      <left style="medium">
        <color rgb="FFC0C0C0"/>
      </left>
      <right style="medium">
        <color rgb="FFC0C0C0"/>
      </right>
      <top style="medium">
        <color rgb="FFC0C0C0"/>
      </top>
      <bottom style="medium">
        <color rgb="FFC0C0C0"/>
      </bottom>
      <diagonal/>
    </border>
    <border>
      <left style="medium">
        <color rgb="FFC0C0C0"/>
      </left>
      <right/>
      <top style="medium">
        <color rgb="FFC0C0C0"/>
      </top>
      <bottom style="medium">
        <color rgb="FFC0C0C0"/>
      </bottom>
      <diagonal/>
    </border>
    <border>
      <left/>
      <right/>
      <top style="medium">
        <color rgb="FFC0C0C0"/>
      </top>
      <bottom style="medium">
        <color rgb="FFC0C0C0"/>
      </bottom>
      <diagonal/>
    </border>
    <border>
      <left/>
      <right style="medium">
        <color rgb="FFC0C0C0"/>
      </right>
      <top style="medium">
        <color rgb="FFC0C0C0"/>
      </top>
      <bottom style="medium">
        <color rgb="FFC0C0C0"/>
      </bottom>
      <diagonal/>
    </border>
    <border>
      <left style="medium">
        <color rgb="FFC0C0C0"/>
      </left>
      <right style="medium">
        <color rgb="FFC0C0C0"/>
      </right>
      <top style="medium">
        <color rgb="FFC0C0C0"/>
      </top>
      <bottom/>
      <diagonal/>
    </border>
    <border>
      <left style="medium">
        <color rgb="FFC0C0C0"/>
      </left>
      <right style="medium">
        <color rgb="FFC0C0C0"/>
      </right>
      <top/>
      <bottom style="medium">
        <color rgb="FFC0C0C0"/>
      </bottom>
      <diagonal/>
    </border>
    <border>
      <left/>
      <right/>
      <top style="medium">
        <color rgb="FFC0C0C0"/>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auto="1"/>
      </left>
      <right style="medium">
        <color auto="1"/>
      </right>
      <top style="medium">
        <color auto="1"/>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alignment vertical="center"/>
    </xf>
  </cellStyleXfs>
  <cellXfs count="60">
    <xf numFmtId="0" fontId="0" fillId="0" borderId="0" xfId="0">
      <alignment vertical="center"/>
    </xf>
    <xf numFmtId="49" fontId="0" fillId="0" borderId="0" xfId="0" applyNumberFormat="1">
      <alignment vertical="center"/>
    </xf>
    <xf numFmtId="49" fontId="2" fillId="0" borderId="1" xfId="0" applyNumberFormat="1" applyFont="1" applyBorder="1" applyAlignment="1">
      <alignment horizontal="center" vertical="center" wrapText="1"/>
    </xf>
    <xf numFmtId="49" fontId="2" fillId="2" borderId="4" xfId="0" applyNumberFormat="1" applyFont="1" applyFill="1" applyBorder="1" applyAlignment="1">
      <alignment horizontal="center" vertical="center" wrapText="1"/>
    </xf>
    <xf numFmtId="49" fontId="2" fillId="2" borderId="1" xfId="0" applyNumberFormat="1" applyFont="1" applyFill="1" applyBorder="1" applyAlignment="1">
      <alignment horizontal="center" vertical="center" wrapText="1"/>
    </xf>
    <xf numFmtId="0" fontId="4" fillId="3" borderId="6" xfId="0" applyFont="1" applyFill="1" applyBorder="1" applyAlignment="1">
      <alignment vertical="center" wrapText="1"/>
    </xf>
    <xf numFmtId="0" fontId="3" fillId="2" borderId="6" xfId="0" applyFont="1" applyFill="1" applyBorder="1" applyAlignment="1">
      <alignment vertical="center" wrapText="1"/>
    </xf>
    <xf numFmtId="49" fontId="0" fillId="0" borderId="0" xfId="0" applyNumberFormat="1" applyAlignment="1">
      <alignment vertical="center" wrapText="1"/>
    </xf>
    <xf numFmtId="49" fontId="0" fillId="0" borderId="6" xfId="0" applyNumberFormat="1" applyFill="1" applyBorder="1" applyAlignment="1">
      <alignment vertical="center" wrapText="1"/>
    </xf>
    <xf numFmtId="49" fontId="0" fillId="0" borderId="6" xfId="0" applyNumberFormat="1" applyBorder="1" applyAlignment="1">
      <alignment vertical="center" wrapText="1"/>
    </xf>
    <xf numFmtId="0" fontId="0" fillId="2" borderId="6" xfId="0" applyFill="1" applyBorder="1" applyAlignment="1">
      <alignment horizontal="center" vertical="center"/>
    </xf>
    <xf numFmtId="0" fontId="0" fillId="0" borderId="6" xfId="0" applyBorder="1">
      <alignment vertical="center"/>
    </xf>
    <xf numFmtId="49" fontId="0" fillId="0" borderId="0" xfId="0" applyNumberFormat="1" applyAlignment="1">
      <alignment vertical="center"/>
    </xf>
    <xf numFmtId="49" fontId="9" fillId="0" borderId="11" xfId="0" applyNumberFormat="1" applyFont="1" applyBorder="1" applyAlignment="1">
      <alignment vertical="center" wrapText="1"/>
    </xf>
    <xf numFmtId="49" fontId="9" fillId="0" borderId="12" xfId="0" applyNumberFormat="1" applyFont="1" applyBorder="1" applyAlignment="1">
      <alignment vertical="center" wrapText="1"/>
    </xf>
    <xf numFmtId="49" fontId="9" fillId="0" borderId="7" xfId="0" applyNumberFormat="1" applyFont="1" applyBorder="1" applyAlignment="1">
      <alignment vertical="center" wrapText="1"/>
    </xf>
    <xf numFmtId="49" fontId="7" fillId="0" borderId="0" xfId="0" applyNumberFormat="1" applyFont="1" applyAlignment="1">
      <alignment vertical="center" wrapText="1"/>
    </xf>
    <xf numFmtId="0" fontId="5" fillId="0" borderId="0" xfId="0" applyFont="1" applyAlignment="1">
      <alignment horizontal="center" vertical="center"/>
    </xf>
    <xf numFmtId="0" fontId="11" fillId="0" borderId="16" xfId="0" applyFont="1" applyFill="1" applyBorder="1" applyAlignment="1">
      <alignment vertical="center" wrapText="1"/>
    </xf>
    <xf numFmtId="0" fontId="10" fillId="4" borderId="17" xfId="0" applyFont="1" applyFill="1" applyBorder="1" applyAlignment="1">
      <alignment horizontal="center" vertical="center"/>
    </xf>
    <xf numFmtId="0" fontId="10" fillId="4" borderId="18" xfId="0" applyFont="1" applyFill="1" applyBorder="1" applyAlignment="1">
      <alignment horizontal="center" vertical="center"/>
    </xf>
    <xf numFmtId="0" fontId="10" fillId="4" borderId="19" xfId="0" applyFont="1" applyFill="1" applyBorder="1" applyAlignment="1">
      <alignment horizontal="center" vertical="center"/>
    </xf>
    <xf numFmtId="0" fontId="13" fillId="0" borderId="0" xfId="0" applyFont="1" applyAlignment="1">
      <alignment horizontal="center" shrinkToFit="1"/>
    </xf>
    <xf numFmtId="0" fontId="14" fillId="0" borderId="6" xfId="0" applyFont="1" applyBorder="1">
      <alignment vertical="center"/>
    </xf>
    <xf numFmtId="0" fontId="13" fillId="0" borderId="0" xfId="0" quotePrefix="1" applyFont="1" applyAlignment="1">
      <alignment horizontal="center" shrinkToFit="1"/>
    </xf>
    <xf numFmtId="0" fontId="10" fillId="4" borderId="16" xfId="0" applyFont="1" applyFill="1" applyBorder="1" applyAlignment="1">
      <alignment horizontal="center" vertic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5" fillId="6" borderId="20" xfId="0" applyFont="1" applyFill="1" applyBorder="1" applyAlignment="1">
      <alignment horizontal="center" vertical="center"/>
    </xf>
    <xf numFmtId="0" fontId="11" fillId="5" borderId="16" xfId="0" applyFont="1" applyFill="1" applyBorder="1" applyAlignment="1">
      <alignment horizontal="center" vertical="center" wrapText="1"/>
    </xf>
    <xf numFmtId="0" fontId="11" fillId="5" borderId="14" xfId="0" applyFont="1" applyFill="1" applyBorder="1" applyAlignment="1">
      <alignment horizontal="center" vertical="center"/>
    </xf>
    <xf numFmtId="0" fontId="5" fillId="2" borderId="20" xfId="0" applyFont="1" applyFill="1" applyBorder="1" applyAlignment="1">
      <alignment horizontal="center" vertical="center"/>
    </xf>
    <xf numFmtId="0" fontId="5" fillId="7" borderId="20" xfId="0" applyFont="1" applyFill="1" applyBorder="1" applyAlignment="1">
      <alignment horizontal="center" vertical="center"/>
    </xf>
    <xf numFmtId="0" fontId="5" fillId="8" borderId="20" xfId="0" applyFont="1" applyFill="1" applyBorder="1" applyAlignment="1">
      <alignment horizontal="center" vertical="center"/>
    </xf>
    <xf numFmtId="0" fontId="5" fillId="9" borderId="20" xfId="0" applyFont="1" applyFill="1" applyBorder="1" applyAlignment="1">
      <alignment horizontal="center" vertical="center"/>
    </xf>
    <xf numFmtId="0" fontId="5" fillId="0" borderId="20" xfId="0" applyFont="1" applyBorder="1" applyAlignment="1">
      <alignment horizontal="center" vertical="center"/>
    </xf>
    <xf numFmtId="49" fontId="2" fillId="2" borderId="2" xfId="0" applyNumberFormat="1" applyFont="1" applyFill="1" applyBorder="1" applyAlignment="1">
      <alignment horizontal="center" vertical="center" wrapText="1"/>
    </xf>
    <xf numFmtId="49" fontId="2" fillId="2" borderId="3" xfId="0" applyNumberFormat="1" applyFont="1" applyFill="1" applyBorder="1" applyAlignment="1">
      <alignment horizontal="center" vertical="center" wrapText="1"/>
    </xf>
    <xf numFmtId="49" fontId="2" fillId="0" borderId="0" xfId="0" applyNumberFormat="1" applyFont="1" applyAlignment="1">
      <alignment horizontal="center" vertical="center"/>
    </xf>
    <xf numFmtId="0" fontId="0" fillId="3" borderId="6" xfId="0" applyFill="1" applyBorder="1" applyAlignment="1">
      <alignment vertical="center" wrapText="1"/>
    </xf>
    <xf numFmtId="0" fontId="4" fillId="3" borderId="6" xfId="0" applyFont="1" applyFill="1" applyBorder="1" applyAlignment="1">
      <alignment vertical="center" wrapText="1"/>
    </xf>
    <xf numFmtId="0" fontId="3" fillId="3" borderId="5" xfId="0" applyFont="1" applyFill="1" applyBorder="1" applyAlignment="1">
      <alignment horizontal="center" vertical="center" wrapText="1"/>
    </xf>
    <xf numFmtId="0" fontId="3" fillId="3" borderId="0" xfId="0" applyFont="1" applyFill="1" applyBorder="1" applyAlignment="1">
      <alignment horizontal="center" vertical="center" wrapText="1"/>
    </xf>
    <xf numFmtId="49" fontId="5" fillId="2" borderId="6" xfId="0" applyNumberFormat="1" applyFont="1" applyFill="1" applyBorder="1" applyAlignment="1">
      <alignment horizontal="center" vertical="center" wrapText="1"/>
    </xf>
    <xf numFmtId="0" fontId="3" fillId="2" borderId="6" xfId="0" applyFont="1" applyFill="1" applyBorder="1" applyAlignment="1">
      <alignment vertical="center" wrapText="1"/>
    </xf>
    <xf numFmtId="0" fontId="0" fillId="0" borderId="6" xfId="0" applyFill="1" applyBorder="1" applyAlignment="1">
      <alignment vertical="center" wrapText="1"/>
    </xf>
    <xf numFmtId="49" fontId="8" fillId="0" borderId="0" xfId="0" applyNumberFormat="1" applyFont="1" applyAlignment="1">
      <alignment vertical="center" wrapText="1"/>
    </xf>
    <xf numFmtId="49" fontId="6" fillId="0" borderId="0" xfId="0" applyNumberFormat="1" applyFont="1" applyAlignment="1">
      <alignment vertical="center" wrapText="1"/>
    </xf>
    <xf numFmtId="49" fontId="8" fillId="0" borderId="13" xfId="0" applyNumberFormat="1" applyFont="1" applyBorder="1" applyAlignment="1">
      <alignment vertical="center" wrapText="1"/>
    </xf>
    <xf numFmtId="49" fontId="9" fillId="0" borderId="8" xfId="0" applyNumberFormat="1" applyFont="1" applyBorder="1" applyAlignment="1">
      <alignment vertical="center" wrapText="1"/>
    </xf>
    <xf numFmtId="49" fontId="9" fillId="0" borderId="9" xfId="0" applyNumberFormat="1" applyFont="1" applyBorder="1" applyAlignment="1">
      <alignment vertical="center" wrapText="1"/>
    </xf>
    <xf numFmtId="49" fontId="9" fillId="0" borderId="10" xfId="0" applyNumberFormat="1" applyFont="1" applyBorder="1" applyAlignment="1">
      <alignment vertical="center" wrapText="1"/>
    </xf>
    <xf numFmtId="49" fontId="9" fillId="0" borderId="11" xfId="0" applyNumberFormat="1" applyFont="1" applyBorder="1" applyAlignment="1">
      <alignment vertical="center" wrapText="1"/>
    </xf>
    <xf numFmtId="49" fontId="9" fillId="0" borderId="12" xfId="0" applyNumberFormat="1" applyFont="1" applyBorder="1" applyAlignment="1">
      <alignment vertical="center" wrapText="1"/>
    </xf>
    <xf numFmtId="49" fontId="0" fillId="0" borderId="6" xfId="0" applyNumberFormat="1" applyBorder="1" applyAlignment="1">
      <alignment horizontal="center" vertical="center" wrapText="1"/>
    </xf>
    <xf numFmtId="49" fontId="0" fillId="0" borderId="21" xfId="0" applyNumberFormat="1" applyBorder="1" applyAlignment="1">
      <alignment horizontal="center" vertical="center" wrapText="1"/>
    </xf>
    <xf numFmtId="49" fontId="0" fillId="0" borderId="22" xfId="0" applyNumberFormat="1" applyBorder="1" applyAlignment="1">
      <alignment horizontal="center" vertical="center" wrapText="1"/>
    </xf>
    <xf numFmtId="49" fontId="0" fillId="2" borderId="21" xfId="0" applyNumberFormat="1" applyFill="1" applyBorder="1" applyAlignment="1">
      <alignment horizontal="center" vertical="center" wrapText="1"/>
    </xf>
    <xf numFmtId="49" fontId="0" fillId="2" borderId="22" xfId="0" applyNumberFormat="1" applyFill="1" applyBorder="1" applyAlignment="1">
      <alignment horizontal="center" vertical="center" wrapText="1"/>
    </xf>
    <xf numFmtId="49" fontId="0" fillId="0" borderId="23" xfId="0" applyNumberFormat="1" applyBorder="1" applyAlignment="1">
      <alignment horizontal="center" vertical="center" wrapText="1"/>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978C9E23-D4B0-11CE-BF2D-00AA003F40D0}" ax:persistence="persistStreamInit" r:id="rId1"/>
</file>

<file path=xl/activeX/activeX6.xml><?xml version="1.0" encoding="utf-8"?>
<ax:ocx xmlns:ax="http://schemas.microsoft.com/office/2006/activeX" xmlns:r="http://schemas.openxmlformats.org/officeDocument/2006/relationships" ax:classid="{79176FB0-B7F2-11CE-97EF-00AA006D2776}" ax:persistence="persistStreamInit" r:id="rId1"/>
</file>

<file path=xl/activeX/activeX7.xml><?xml version="1.0" encoding="utf-8"?>
<ax:ocx xmlns:ax="http://schemas.microsoft.com/office/2006/activeX" xmlns:r="http://schemas.openxmlformats.org/officeDocument/2006/relationships" ax:classid="{79176FB0-B7F2-11CE-97EF-00AA006D2776}" ax:persistence="persistStreamInit" r:id="rId1"/>
</file>

<file path=xl/activeX/activeX8.xml><?xml version="1.0" encoding="utf-8"?>
<ax:ocx xmlns:ax="http://schemas.microsoft.com/office/2006/activeX" xmlns:r="http://schemas.openxmlformats.org/officeDocument/2006/relationships" ax:classid="{978C9E23-D4B0-11CE-BF2D-00AA003F40D0}" ax:persistence="persistStreamInit" r:id="rId1"/>
</file>

<file path=xl/activeX/activeX9.xml><?xml version="1.0" encoding="utf-8"?>
<ax:ocx xmlns:ax="http://schemas.microsoft.com/office/2006/activeX" xmlns:r="http://schemas.openxmlformats.org/officeDocument/2006/relationships" ax:classid="{79176FB0-B7F2-11CE-97EF-00AA006D2776}"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6.emf"/><Relationship Id="rId13" Type="http://schemas.openxmlformats.org/officeDocument/2006/relationships/image" Target="../media/image2.emf"/><Relationship Id="rId3" Type="http://schemas.openxmlformats.org/officeDocument/2006/relationships/image" Target="../media/image12.emf"/><Relationship Id="rId7" Type="http://schemas.openxmlformats.org/officeDocument/2006/relationships/image" Target="../media/image8.emf"/><Relationship Id="rId12" Type="http://schemas.openxmlformats.org/officeDocument/2006/relationships/image" Target="../media/image3.emf"/><Relationship Id="rId2" Type="http://schemas.openxmlformats.org/officeDocument/2006/relationships/image" Target="../media/image14.emf"/><Relationship Id="rId1" Type="http://schemas.openxmlformats.org/officeDocument/2006/relationships/image" Target="../media/image13.emf"/><Relationship Id="rId6" Type="http://schemas.openxmlformats.org/officeDocument/2006/relationships/image" Target="../media/image9.emf"/><Relationship Id="rId11" Type="http://schemas.openxmlformats.org/officeDocument/2006/relationships/image" Target="../media/image4.emf"/><Relationship Id="rId5" Type="http://schemas.openxmlformats.org/officeDocument/2006/relationships/image" Target="../media/image10.emf"/><Relationship Id="rId10" Type="http://schemas.openxmlformats.org/officeDocument/2006/relationships/image" Target="../media/image5.emf"/><Relationship Id="rId4" Type="http://schemas.openxmlformats.org/officeDocument/2006/relationships/image" Target="../media/image11.emf"/><Relationship Id="rId9" Type="http://schemas.openxmlformats.org/officeDocument/2006/relationships/image" Target="../media/image7.emf"/><Relationship Id="rId1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3</xdr:row>
          <xdr:rowOff>561975</xdr:rowOff>
        </xdr:from>
        <xdr:to>
          <xdr:col>0</xdr:col>
          <xdr:colOff>771525</xdr:colOff>
          <xdr:row>4</xdr:row>
          <xdr:rowOff>0</xdr:rowOff>
        </xdr:to>
        <xdr:sp macro="" textlink="">
          <xdr:nvSpPr>
            <xdr:cNvPr id="2051" name="ucCmd_StartPlay"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3</xdr:row>
          <xdr:rowOff>352425</xdr:rowOff>
        </xdr:from>
        <xdr:to>
          <xdr:col>0</xdr:col>
          <xdr:colOff>1314450</xdr:colOff>
          <xdr:row>3</xdr:row>
          <xdr:rowOff>561975</xdr:rowOff>
        </xdr:to>
        <xdr:sp macro="" textlink="">
          <xdr:nvSpPr>
            <xdr:cNvPr id="2056" name="Opt_MuteLastNote" hidden="1">
              <a:extLst>
                <a:ext uri="{63B3BB69-23CF-44E3-9099-C40C66FF867C}">
                  <a14:compatExt spid="_x0000_s2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800100</xdr:colOff>
          <xdr:row>3</xdr:row>
          <xdr:rowOff>561975</xdr:rowOff>
        </xdr:from>
        <xdr:to>
          <xdr:col>0</xdr:col>
          <xdr:colOff>1323975</xdr:colOff>
          <xdr:row>4</xdr:row>
          <xdr:rowOff>0</xdr:rowOff>
        </xdr:to>
        <xdr:sp macro="" textlink="">
          <xdr:nvSpPr>
            <xdr:cNvPr id="2062" name="ucCmd_StopPlay" hidden="1">
              <a:extLst>
                <a:ext uri="{63B3BB69-23CF-44E3-9099-C40C66FF867C}">
                  <a14:compatExt spid="_x0000_s2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9524</xdr:colOff>
          <xdr:row>2</xdr:row>
          <xdr:rowOff>57150</xdr:rowOff>
        </xdr:from>
        <xdr:to>
          <xdr:col>0</xdr:col>
          <xdr:colOff>1314450</xdr:colOff>
          <xdr:row>2</xdr:row>
          <xdr:rowOff>628650</xdr:rowOff>
        </xdr:to>
        <xdr:grpSp>
          <xdr:nvGrpSpPr>
            <xdr:cNvPr id="5" name="组合 4"/>
            <xdr:cNvGrpSpPr/>
          </xdr:nvGrpSpPr>
          <xdr:grpSpPr>
            <a:xfrm>
              <a:off x="9524" y="428625"/>
              <a:ext cx="1304926" cy="571500"/>
              <a:chOff x="9524" y="428625"/>
              <a:chExt cx="1304926" cy="571500"/>
            </a:xfrm>
          </xdr:grpSpPr>
          <xdr:sp macro="" textlink="">
            <xdr:nvSpPr>
              <xdr:cNvPr id="2058" name="ucComboBox_ProgramType" hidden="1">
                <a:extLst>
                  <a:ext uri="{63B3BB69-23CF-44E3-9099-C40C66FF867C}">
                    <a14:compatExt spid="_x0000_s2058"/>
                  </a:ext>
                </a:extLst>
              </xdr:cNvPr>
              <xdr:cNvSpPr/>
            </xdr:nvSpPr>
            <xdr:spPr bwMode="auto">
              <a:xfrm>
                <a:off x="9524" y="561975"/>
                <a:ext cx="1304926" cy="247650"/>
              </a:xfrm>
              <a:prstGeom prst="rect">
                <a:avLst/>
              </a:prstGeom>
              <a:noFill/>
              <a:ln>
                <a:noFill/>
              </a:ln>
              <a:extLst>
                <a:ext uri="{91240B29-F687-4F45-9708-019B960494DF}">
                  <a14:hiddenLine w="9525">
                    <a:noFill/>
                    <a:miter lim="800000"/>
                    <a:headEnd/>
                    <a:tailEnd/>
                  </a14:hiddenLine>
                </a:ext>
              </a:extLst>
            </xdr:spPr>
          </xdr:sp>
          <xdr:sp macro="" textlink="">
            <xdr:nvSpPr>
              <xdr:cNvPr id="2059" name="ucComboBox_Program" hidden="1">
                <a:extLst>
                  <a:ext uri="{63B3BB69-23CF-44E3-9099-C40C66FF867C}">
                    <a14:compatExt spid="_x0000_s2059"/>
                  </a:ext>
                </a:extLst>
              </xdr:cNvPr>
              <xdr:cNvSpPr/>
            </xdr:nvSpPr>
            <xdr:spPr bwMode="auto">
              <a:xfrm>
                <a:off x="9524" y="809625"/>
                <a:ext cx="1304925" cy="190500"/>
              </a:xfrm>
              <a:prstGeom prst="rect">
                <a:avLst/>
              </a:prstGeom>
              <a:noFill/>
              <a:ln>
                <a:noFill/>
              </a:ln>
              <a:extLst>
                <a:ext uri="{91240B29-F687-4F45-9708-019B960494DF}">
                  <a14:hiddenLine w="9525">
                    <a:noFill/>
                    <a:miter lim="800000"/>
                    <a:headEnd/>
                    <a:tailEnd/>
                  </a14:hiddenLine>
                </a:ext>
              </a:extLst>
            </xdr:spPr>
          </xdr:sp>
          <xdr:sp macro="" textlink="">
            <xdr:nvSpPr>
              <xdr:cNvPr id="2070" name="Label3" hidden="1">
                <a:extLst>
                  <a:ext uri="{63B3BB69-23CF-44E3-9099-C40C66FF867C}">
                    <a14:compatExt spid="_x0000_s2070"/>
                  </a:ext>
                </a:extLst>
              </xdr:cNvPr>
              <xdr:cNvSpPr/>
            </xdr:nvSpPr>
            <xdr:spPr bwMode="auto">
              <a:xfrm>
                <a:off x="28575" y="428625"/>
                <a:ext cx="1247775" cy="123825"/>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57150</xdr:colOff>
          <xdr:row>2</xdr:row>
          <xdr:rowOff>695325</xdr:rowOff>
        </xdr:from>
        <xdr:to>
          <xdr:col>0</xdr:col>
          <xdr:colOff>1304925</xdr:colOff>
          <xdr:row>2</xdr:row>
          <xdr:rowOff>1076325</xdr:rowOff>
        </xdr:to>
        <xdr:grpSp>
          <xdr:nvGrpSpPr>
            <xdr:cNvPr id="6" name="组合 5"/>
            <xdr:cNvGrpSpPr/>
          </xdr:nvGrpSpPr>
          <xdr:grpSpPr>
            <a:xfrm>
              <a:off x="57150" y="1066800"/>
              <a:ext cx="1247775" cy="381000"/>
              <a:chOff x="28575" y="1085850"/>
              <a:chExt cx="1247775" cy="381000"/>
            </a:xfrm>
          </xdr:grpSpPr>
          <xdr:grpSp>
            <xdr:nvGrpSpPr>
              <xdr:cNvPr id="3" name="组合 2"/>
              <xdr:cNvGrpSpPr/>
            </xdr:nvGrpSpPr>
            <xdr:grpSpPr>
              <a:xfrm>
                <a:off x="28575" y="1209675"/>
                <a:ext cx="1219200" cy="257175"/>
                <a:chOff x="28575" y="1028700"/>
                <a:chExt cx="1219200" cy="257175"/>
              </a:xfrm>
            </xdr:grpSpPr>
            <xdr:sp macro="" textlink="">
              <xdr:nvSpPr>
                <xdr:cNvPr id="2060" name="ucComboBox_Channel" hidden="1">
                  <a:extLst>
                    <a:ext uri="{63B3BB69-23CF-44E3-9099-C40C66FF867C}">
                      <a14:compatExt spid="_x0000_s2060"/>
                    </a:ext>
                  </a:extLst>
                </xdr:cNvPr>
                <xdr:cNvSpPr/>
              </xdr:nvSpPr>
              <xdr:spPr bwMode="auto">
                <a:xfrm>
                  <a:off x="371475" y="1028700"/>
                  <a:ext cx="733425" cy="247650"/>
                </a:xfrm>
                <a:prstGeom prst="rect">
                  <a:avLst/>
                </a:prstGeom>
                <a:noFill/>
                <a:ln>
                  <a:noFill/>
                </a:ln>
                <a:extLst>
                  <a:ext uri="{91240B29-F687-4F45-9708-019B960494DF}">
                    <a14:hiddenLine w="9525">
                      <a:noFill/>
                      <a:miter lim="800000"/>
                      <a:headEnd/>
                      <a:tailEnd/>
                    </a14:hiddenLine>
                  </a:ext>
                </a:extLst>
              </xdr:spPr>
            </xdr:sp>
            <xdr:sp macro="" textlink="">
              <xdr:nvSpPr>
                <xdr:cNvPr id="2065" name="Label1" hidden="1">
                  <a:extLst>
                    <a:ext uri="{63B3BB69-23CF-44E3-9099-C40C66FF867C}">
                      <a14:compatExt spid="_x0000_s2065"/>
                    </a:ext>
                  </a:extLst>
                </xdr:cNvPr>
                <xdr:cNvSpPr/>
              </xdr:nvSpPr>
              <xdr:spPr bwMode="auto">
                <a:xfrm>
                  <a:off x="28575" y="1057275"/>
                  <a:ext cx="342900" cy="161925"/>
                </a:xfrm>
                <a:prstGeom prst="rect">
                  <a:avLst/>
                </a:prstGeom>
                <a:noFill/>
                <a:ln>
                  <a:noFill/>
                </a:ln>
                <a:extLst>
                  <a:ext uri="{91240B29-F687-4F45-9708-019B960494DF}">
                    <a14:hiddenLine w="9525">
                      <a:noFill/>
                      <a:miter lim="800000"/>
                      <a:headEnd/>
                      <a:tailEnd/>
                    </a14:hiddenLine>
                  </a:ext>
                </a:extLst>
              </xdr:spPr>
            </xdr:sp>
            <xdr:sp macro="" textlink="">
              <xdr:nvSpPr>
                <xdr:cNvPr id="2067" name="ucSpinButton_Channel" hidden="1">
                  <a:extLst>
                    <a:ext uri="{63B3BB69-23CF-44E3-9099-C40C66FF867C}">
                      <a14:compatExt spid="_x0000_s2067"/>
                    </a:ext>
                  </a:extLst>
                </xdr:cNvPr>
                <xdr:cNvSpPr/>
              </xdr:nvSpPr>
              <xdr:spPr bwMode="auto">
                <a:xfrm>
                  <a:off x="1095375" y="1028700"/>
                  <a:ext cx="152400" cy="257175"/>
                </a:xfrm>
                <a:prstGeom prst="rect">
                  <a:avLst/>
                </a:prstGeom>
                <a:noFill/>
                <a:ln>
                  <a:noFill/>
                </a:ln>
                <a:extLst>
                  <a:ext uri="{91240B29-F687-4F45-9708-019B960494DF}">
                    <a14:hiddenLine w="9525">
                      <a:noFill/>
                      <a:miter lim="800000"/>
                      <a:headEnd/>
                      <a:tailEnd/>
                    </a14:hiddenLine>
                  </a:ext>
                </a:extLst>
              </xdr:spPr>
            </xdr:sp>
          </xdr:grpSp>
          <xdr:sp macro="" textlink="">
            <xdr:nvSpPr>
              <xdr:cNvPr id="2073" name="Label4" hidden="1">
                <a:extLst>
                  <a:ext uri="{63B3BB69-23CF-44E3-9099-C40C66FF867C}">
                    <a14:compatExt spid="_x0000_s2073"/>
                  </a:ext>
                </a:extLst>
              </xdr:cNvPr>
              <xdr:cNvSpPr/>
            </xdr:nvSpPr>
            <xdr:spPr bwMode="auto">
              <a:xfrm>
                <a:off x="28575" y="1085850"/>
                <a:ext cx="1247775" cy="123825"/>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2</xdr:row>
          <xdr:rowOff>1104900</xdr:rowOff>
        </xdr:from>
        <xdr:to>
          <xdr:col>0</xdr:col>
          <xdr:colOff>1314450</xdr:colOff>
          <xdr:row>3</xdr:row>
          <xdr:rowOff>28575</xdr:rowOff>
        </xdr:to>
        <xdr:grpSp>
          <xdr:nvGrpSpPr>
            <xdr:cNvPr id="7" name="组合 6"/>
            <xdr:cNvGrpSpPr/>
          </xdr:nvGrpSpPr>
          <xdr:grpSpPr>
            <a:xfrm>
              <a:off x="28575" y="1476375"/>
              <a:ext cx="1285875" cy="381000"/>
              <a:chOff x="57150" y="1752600"/>
              <a:chExt cx="1285875" cy="381000"/>
            </a:xfrm>
          </xdr:grpSpPr>
          <xdr:grpSp>
            <xdr:nvGrpSpPr>
              <xdr:cNvPr id="2" name="组合 1"/>
              <xdr:cNvGrpSpPr/>
            </xdr:nvGrpSpPr>
            <xdr:grpSpPr>
              <a:xfrm>
                <a:off x="57150" y="1866900"/>
                <a:ext cx="1247775" cy="266700"/>
                <a:chOff x="9525" y="1295400"/>
                <a:chExt cx="1247775" cy="266700"/>
              </a:xfrm>
            </xdr:grpSpPr>
            <xdr:sp macro="" textlink="">
              <xdr:nvSpPr>
                <xdr:cNvPr id="2061" name="ucTextBox_Velocity" hidden="1">
                  <a:extLst>
                    <a:ext uri="{63B3BB69-23CF-44E3-9099-C40C66FF867C}">
                      <a14:compatExt spid="_x0000_s2061"/>
                    </a:ext>
                  </a:extLst>
                </xdr:cNvPr>
                <xdr:cNvSpPr/>
              </xdr:nvSpPr>
              <xdr:spPr bwMode="auto">
                <a:xfrm>
                  <a:off x="371475" y="1295400"/>
                  <a:ext cx="542924" cy="266700"/>
                </a:xfrm>
                <a:prstGeom prst="rect">
                  <a:avLst/>
                </a:prstGeom>
                <a:noFill/>
                <a:ln>
                  <a:noFill/>
                </a:ln>
                <a:extLst>
                  <a:ext uri="{91240B29-F687-4F45-9708-019B960494DF}">
                    <a14:hiddenLine w="9525">
                      <a:noFill/>
                      <a:miter lim="800000"/>
                      <a:headEnd/>
                      <a:tailEnd/>
                    </a14:hiddenLine>
                  </a:ext>
                </a:extLst>
              </xdr:spPr>
            </xdr:sp>
            <xdr:sp macro="" textlink="">
              <xdr:nvSpPr>
                <xdr:cNvPr id="2064" name="ucSpinButton_Velocity" hidden="1">
                  <a:extLst>
                    <a:ext uri="{63B3BB69-23CF-44E3-9099-C40C66FF867C}">
                      <a14:compatExt spid="_x0000_s2064"/>
                    </a:ext>
                  </a:extLst>
                </xdr:cNvPr>
                <xdr:cNvSpPr/>
              </xdr:nvSpPr>
              <xdr:spPr bwMode="auto">
                <a:xfrm>
                  <a:off x="933450" y="1295400"/>
                  <a:ext cx="152400" cy="257175"/>
                </a:xfrm>
                <a:prstGeom prst="rect">
                  <a:avLst/>
                </a:prstGeom>
                <a:noFill/>
                <a:ln>
                  <a:noFill/>
                </a:ln>
                <a:extLst>
                  <a:ext uri="{91240B29-F687-4F45-9708-019B960494DF}">
                    <a14:hiddenLine w="9525">
                      <a:noFill/>
                      <a:miter lim="800000"/>
                      <a:headEnd/>
                      <a:tailEnd/>
                    </a14:hiddenLine>
                  </a:ext>
                </a:extLst>
              </xdr:spPr>
            </xdr:sp>
            <xdr:sp macro="" textlink="">
              <xdr:nvSpPr>
                <xdr:cNvPr id="2066" name="ucSpinButton_Velocity2" hidden="1">
                  <a:extLst>
                    <a:ext uri="{63B3BB69-23CF-44E3-9099-C40C66FF867C}">
                      <a14:compatExt spid="_x0000_s2066"/>
                    </a:ext>
                  </a:extLst>
                </xdr:cNvPr>
                <xdr:cNvSpPr/>
              </xdr:nvSpPr>
              <xdr:spPr bwMode="auto">
                <a:xfrm>
                  <a:off x="1104900" y="1295400"/>
                  <a:ext cx="152400" cy="257175"/>
                </a:xfrm>
                <a:prstGeom prst="rect">
                  <a:avLst/>
                </a:prstGeom>
                <a:noFill/>
                <a:ln>
                  <a:noFill/>
                </a:ln>
                <a:extLst>
                  <a:ext uri="{91240B29-F687-4F45-9708-019B960494DF}">
                    <a14:hiddenLine w="9525">
                      <a:noFill/>
                      <a:miter lim="800000"/>
                      <a:headEnd/>
                      <a:tailEnd/>
                    </a14:hiddenLine>
                  </a:ext>
                </a:extLst>
              </xdr:spPr>
            </xdr:sp>
            <xdr:sp macro="" textlink="">
              <xdr:nvSpPr>
                <xdr:cNvPr id="2068" name="Label2" hidden="1">
                  <a:extLst>
                    <a:ext uri="{63B3BB69-23CF-44E3-9099-C40C66FF867C}">
                      <a14:compatExt spid="_x0000_s2068"/>
                    </a:ext>
                  </a:extLst>
                </xdr:cNvPr>
                <xdr:cNvSpPr/>
              </xdr:nvSpPr>
              <xdr:spPr bwMode="auto">
                <a:xfrm>
                  <a:off x="9525" y="1343025"/>
                  <a:ext cx="342900" cy="161925"/>
                </a:xfrm>
                <a:prstGeom prst="rect">
                  <a:avLst/>
                </a:prstGeom>
                <a:noFill/>
                <a:ln>
                  <a:noFill/>
                </a:ln>
                <a:extLst>
                  <a:ext uri="{91240B29-F687-4F45-9708-019B960494DF}">
                    <a14:hiddenLine w="9525">
                      <a:noFill/>
                      <a:miter lim="800000"/>
                      <a:headEnd/>
                      <a:tailEnd/>
                    </a14:hiddenLine>
                  </a:ext>
                </a:extLst>
              </xdr:spPr>
            </xdr:sp>
          </xdr:grpSp>
          <xdr:sp macro="" textlink="">
            <xdr:nvSpPr>
              <xdr:cNvPr id="2074" name="Label5" hidden="1">
                <a:extLst>
                  <a:ext uri="{63B3BB69-23CF-44E3-9099-C40C66FF867C}">
                    <a14:compatExt spid="_x0000_s2074"/>
                  </a:ext>
                </a:extLst>
              </xdr:cNvPr>
              <xdr:cNvSpPr/>
            </xdr:nvSpPr>
            <xdr:spPr bwMode="auto">
              <a:xfrm>
                <a:off x="95250" y="1752600"/>
                <a:ext cx="1247775" cy="123825"/>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47625</xdr:rowOff>
        </xdr:from>
        <xdr:to>
          <xdr:col>0</xdr:col>
          <xdr:colOff>752475</xdr:colOff>
          <xdr:row>3</xdr:row>
          <xdr:rowOff>323850</xdr:rowOff>
        </xdr:to>
        <xdr:sp macro="" textlink="">
          <xdr:nvSpPr>
            <xdr:cNvPr id="2075" name="ucCmd_ChannelMute" hidden="1">
              <a:extLst>
                <a:ext uri="{63B3BB69-23CF-44E3-9099-C40C66FF867C}">
                  <a14:compatExt spid="_x0000_s2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25</xdr:row>
      <xdr:rowOff>0</xdr:rowOff>
    </xdr:from>
    <xdr:to>
      <xdr:col>9</xdr:col>
      <xdr:colOff>390525</xdr:colOff>
      <xdr:row>30</xdr:row>
      <xdr:rowOff>28575</xdr:rowOff>
    </xdr:to>
    <xdr:sp macro="" textlink="">
      <xdr:nvSpPr>
        <xdr:cNvPr id="4100" name="AutoShape 4" descr="钢琴琴键图"/>
        <xdr:cNvSpPr>
          <a:spLocks noChangeAspect="1" noChangeArrowheads="1"/>
        </xdr:cNvSpPr>
      </xdr:nvSpPr>
      <xdr:spPr bwMode="auto">
        <a:xfrm>
          <a:off x="0" y="41576625"/>
          <a:ext cx="7058025" cy="885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51</xdr:row>
      <xdr:rowOff>0</xdr:rowOff>
    </xdr:from>
    <xdr:to>
      <xdr:col>5</xdr:col>
      <xdr:colOff>19050</xdr:colOff>
      <xdr:row>60</xdr:row>
      <xdr:rowOff>104775</xdr:rowOff>
    </xdr:to>
    <xdr:sp macro="" textlink="">
      <xdr:nvSpPr>
        <xdr:cNvPr id="4101" name="AutoShape 5" descr="consonance ratio"/>
        <xdr:cNvSpPr>
          <a:spLocks noChangeAspect="1" noChangeArrowheads="1"/>
        </xdr:cNvSpPr>
      </xdr:nvSpPr>
      <xdr:spPr bwMode="auto">
        <a:xfrm>
          <a:off x="0" y="78000225"/>
          <a:ext cx="3905250" cy="33909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79</xdr:row>
      <xdr:rowOff>0</xdr:rowOff>
    </xdr:from>
    <xdr:to>
      <xdr:col>6</xdr:col>
      <xdr:colOff>85725</xdr:colOff>
      <xdr:row>81</xdr:row>
      <xdr:rowOff>790575</xdr:rowOff>
    </xdr:to>
    <xdr:sp macro="" textlink="">
      <xdr:nvSpPr>
        <xdr:cNvPr id="4102" name="AutoShape 6" descr="criticalband.png"/>
        <xdr:cNvSpPr>
          <a:spLocks noChangeAspect="1" noChangeArrowheads="1"/>
        </xdr:cNvSpPr>
      </xdr:nvSpPr>
      <xdr:spPr bwMode="auto">
        <a:xfrm>
          <a:off x="0" y="136483725"/>
          <a:ext cx="4667250" cy="29051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image" Target="../media/image7.emf"/><Relationship Id="rId26" Type="http://schemas.openxmlformats.org/officeDocument/2006/relationships/control" Target="../activeX/activeX13.xml"/><Relationship Id="rId3" Type="http://schemas.openxmlformats.org/officeDocument/2006/relationships/vmlDrawing" Target="../drawings/vmlDrawing1.vml"/><Relationship Id="rId21" Type="http://schemas.openxmlformats.org/officeDocument/2006/relationships/image" Target="../media/image8.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control" Target="../activeX/activeX8.xml"/><Relationship Id="rId25" Type="http://schemas.openxmlformats.org/officeDocument/2006/relationships/image" Target="../media/image10.emf"/><Relationship Id="rId33" Type="http://schemas.openxmlformats.org/officeDocument/2006/relationships/image" Target="../media/image14.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10.xml"/><Relationship Id="rId29" Type="http://schemas.openxmlformats.org/officeDocument/2006/relationships/image" Target="../media/image12.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2.xml"/><Relationship Id="rId32" Type="http://schemas.openxmlformats.org/officeDocument/2006/relationships/control" Target="../activeX/activeX16.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9.emf"/><Relationship Id="rId28" Type="http://schemas.openxmlformats.org/officeDocument/2006/relationships/control" Target="../activeX/activeX14.xml"/><Relationship Id="rId10" Type="http://schemas.openxmlformats.org/officeDocument/2006/relationships/control" Target="../activeX/activeX4.xml"/><Relationship Id="rId19" Type="http://schemas.openxmlformats.org/officeDocument/2006/relationships/control" Target="../activeX/activeX9.xml"/><Relationship Id="rId31" Type="http://schemas.openxmlformats.org/officeDocument/2006/relationships/image" Target="../media/image13.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1.xml"/><Relationship Id="rId27" Type="http://schemas.openxmlformats.org/officeDocument/2006/relationships/image" Target="../media/image11.emf"/><Relationship Id="rId30" Type="http://schemas.openxmlformats.org/officeDocument/2006/relationships/control" Target="../activeX/activeX15.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HR5"/>
  <sheetViews>
    <sheetView tabSelected="1" workbookViewId="0">
      <pane xSplit="1" ySplit="5" topLeftCell="CB6" activePane="bottomRight" state="frozen"/>
      <selection pane="topRight" activeCell="B1" sqref="B1"/>
      <selection pane="bottomLeft" activeCell="A6" sqref="A6"/>
      <selection pane="bottomRight" activeCell="DF4" sqref="DF4:DH4"/>
    </sheetView>
  </sheetViews>
  <sheetFormatPr defaultColWidth="1.5" defaultRowHeight="13.5"/>
  <cols>
    <col min="1" max="1" width="17.625" style="17" customWidth="1"/>
    <col min="2" max="16384" width="1.5" style="17"/>
  </cols>
  <sheetData>
    <row r="1" spans="1:226" s="22" customFormat="1" ht="12" customHeight="1" thickBot="1">
      <c r="A1" s="24" t="s">
        <v>822</v>
      </c>
      <c r="B1" s="22">
        <v>0</v>
      </c>
      <c r="C1" s="24" t="s">
        <v>822</v>
      </c>
      <c r="D1" s="22">
        <v>1</v>
      </c>
      <c r="E1" s="22">
        <v>2</v>
      </c>
      <c r="F1" s="24" t="s">
        <v>822</v>
      </c>
      <c r="G1" s="22">
        <v>3</v>
      </c>
      <c r="H1" s="22">
        <v>4</v>
      </c>
      <c r="I1" s="24" t="s">
        <v>822</v>
      </c>
      <c r="J1" s="24" t="s">
        <v>822</v>
      </c>
      <c r="K1" s="22">
        <v>5</v>
      </c>
      <c r="L1" s="24" t="s">
        <v>822</v>
      </c>
      <c r="M1" s="22">
        <v>6</v>
      </c>
      <c r="N1" s="22">
        <v>7</v>
      </c>
      <c r="O1" s="24" t="s">
        <v>822</v>
      </c>
      <c r="P1" s="22">
        <v>8</v>
      </c>
      <c r="Q1" s="22">
        <v>9</v>
      </c>
      <c r="R1" s="24" t="s">
        <v>822</v>
      </c>
      <c r="S1" s="22">
        <v>10</v>
      </c>
      <c r="T1" s="22">
        <v>11</v>
      </c>
      <c r="U1" s="24" t="s">
        <v>822</v>
      </c>
      <c r="V1" s="24" t="s">
        <v>822</v>
      </c>
      <c r="W1" s="22">
        <f>IF(LEN(B1)&gt;0,B1+12,"")</f>
        <v>12</v>
      </c>
      <c r="X1" s="22" t="str">
        <f t="shared" ref="X1:CI1" si="0">IF(LEN(C1)&gt;0,C1+12,"")</f>
        <v/>
      </c>
      <c r="Y1" s="22">
        <f t="shared" si="0"/>
        <v>13</v>
      </c>
      <c r="Z1" s="22">
        <f t="shared" si="0"/>
        <v>14</v>
      </c>
      <c r="AA1" s="22" t="str">
        <f t="shared" si="0"/>
        <v/>
      </c>
      <c r="AB1" s="22">
        <f t="shared" si="0"/>
        <v>15</v>
      </c>
      <c r="AC1" s="22">
        <f t="shared" si="0"/>
        <v>16</v>
      </c>
      <c r="AD1" s="22" t="str">
        <f t="shared" si="0"/>
        <v/>
      </c>
      <c r="AE1" s="22" t="str">
        <f t="shared" si="0"/>
        <v/>
      </c>
      <c r="AF1" s="22">
        <f t="shared" si="0"/>
        <v>17</v>
      </c>
      <c r="AG1" s="22" t="str">
        <f t="shared" si="0"/>
        <v/>
      </c>
      <c r="AH1" s="22">
        <f t="shared" si="0"/>
        <v>18</v>
      </c>
      <c r="AI1" s="22">
        <f t="shared" si="0"/>
        <v>19</v>
      </c>
      <c r="AJ1" s="22" t="str">
        <f t="shared" si="0"/>
        <v/>
      </c>
      <c r="AK1" s="22">
        <f t="shared" si="0"/>
        <v>20</v>
      </c>
      <c r="AL1" s="22">
        <f t="shared" si="0"/>
        <v>21</v>
      </c>
      <c r="AM1" s="22" t="str">
        <f t="shared" si="0"/>
        <v/>
      </c>
      <c r="AN1" s="22">
        <f t="shared" si="0"/>
        <v>22</v>
      </c>
      <c r="AO1" s="22">
        <f t="shared" si="0"/>
        <v>23</v>
      </c>
      <c r="AP1" s="22" t="str">
        <f t="shared" si="0"/>
        <v/>
      </c>
      <c r="AQ1" s="22" t="str">
        <f t="shared" si="0"/>
        <v/>
      </c>
      <c r="AR1" s="22">
        <f t="shared" si="0"/>
        <v>24</v>
      </c>
      <c r="AS1" s="22" t="str">
        <f t="shared" si="0"/>
        <v/>
      </c>
      <c r="AT1" s="22">
        <f t="shared" si="0"/>
        <v>25</v>
      </c>
      <c r="AU1" s="22">
        <f t="shared" si="0"/>
        <v>26</v>
      </c>
      <c r="AV1" s="22" t="str">
        <f t="shared" si="0"/>
        <v/>
      </c>
      <c r="AW1" s="22">
        <f t="shared" si="0"/>
        <v>27</v>
      </c>
      <c r="AX1" s="22">
        <f t="shared" si="0"/>
        <v>28</v>
      </c>
      <c r="AY1" s="22" t="str">
        <f t="shared" si="0"/>
        <v/>
      </c>
      <c r="AZ1" s="22" t="str">
        <f t="shared" si="0"/>
        <v/>
      </c>
      <c r="BA1" s="22">
        <f t="shared" si="0"/>
        <v>29</v>
      </c>
      <c r="BB1" s="22" t="str">
        <f t="shared" si="0"/>
        <v/>
      </c>
      <c r="BC1" s="22">
        <f t="shared" si="0"/>
        <v>30</v>
      </c>
      <c r="BD1" s="22">
        <f t="shared" si="0"/>
        <v>31</v>
      </c>
      <c r="BE1" s="22" t="str">
        <f t="shared" si="0"/>
        <v/>
      </c>
      <c r="BF1" s="22">
        <f t="shared" si="0"/>
        <v>32</v>
      </c>
      <c r="BG1" s="22">
        <f t="shared" si="0"/>
        <v>33</v>
      </c>
      <c r="BH1" s="22" t="str">
        <f t="shared" si="0"/>
        <v/>
      </c>
      <c r="BI1" s="22">
        <f t="shared" si="0"/>
        <v>34</v>
      </c>
      <c r="BJ1" s="22">
        <f t="shared" si="0"/>
        <v>35</v>
      </c>
      <c r="BK1" s="22" t="str">
        <f t="shared" si="0"/>
        <v/>
      </c>
      <c r="BL1" s="22" t="str">
        <f t="shared" si="0"/>
        <v/>
      </c>
      <c r="BM1" s="22">
        <f t="shared" si="0"/>
        <v>36</v>
      </c>
      <c r="BN1" s="22" t="str">
        <f t="shared" si="0"/>
        <v/>
      </c>
      <c r="BO1" s="22">
        <f t="shared" si="0"/>
        <v>37</v>
      </c>
      <c r="BP1" s="22">
        <f t="shared" si="0"/>
        <v>38</v>
      </c>
      <c r="BQ1" s="22" t="str">
        <f t="shared" si="0"/>
        <v/>
      </c>
      <c r="BR1" s="22">
        <f t="shared" si="0"/>
        <v>39</v>
      </c>
      <c r="BS1" s="22">
        <f t="shared" si="0"/>
        <v>40</v>
      </c>
      <c r="BT1" s="22" t="str">
        <f t="shared" si="0"/>
        <v/>
      </c>
      <c r="BU1" s="22" t="str">
        <f t="shared" si="0"/>
        <v/>
      </c>
      <c r="BV1" s="22">
        <f t="shared" si="0"/>
        <v>41</v>
      </c>
      <c r="BW1" s="22" t="str">
        <f t="shared" si="0"/>
        <v/>
      </c>
      <c r="BX1" s="22">
        <f t="shared" si="0"/>
        <v>42</v>
      </c>
      <c r="BY1" s="22">
        <f t="shared" si="0"/>
        <v>43</v>
      </c>
      <c r="BZ1" s="22" t="str">
        <f t="shared" si="0"/>
        <v/>
      </c>
      <c r="CA1" s="22">
        <f t="shared" si="0"/>
        <v>44</v>
      </c>
      <c r="CB1" s="22">
        <f t="shared" si="0"/>
        <v>45</v>
      </c>
      <c r="CC1" s="22" t="str">
        <f t="shared" si="0"/>
        <v/>
      </c>
      <c r="CD1" s="22">
        <f t="shared" si="0"/>
        <v>46</v>
      </c>
      <c r="CE1" s="22">
        <f t="shared" si="0"/>
        <v>47</v>
      </c>
      <c r="CF1" s="22" t="str">
        <f t="shared" si="0"/>
        <v/>
      </c>
      <c r="CG1" s="22" t="str">
        <f t="shared" si="0"/>
        <v/>
      </c>
      <c r="CH1" s="22">
        <f t="shared" si="0"/>
        <v>48</v>
      </c>
      <c r="CI1" s="22" t="str">
        <f t="shared" si="0"/>
        <v/>
      </c>
      <c r="CJ1" s="22">
        <f t="shared" ref="CJ1:EU1" si="1">IF(LEN(BO1)&gt;0,BO1+12,"")</f>
        <v>49</v>
      </c>
      <c r="CK1" s="22">
        <f t="shared" si="1"/>
        <v>50</v>
      </c>
      <c r="CL1" s="22" t="str">
        <f t="shared" si="1"/>
        <v/>
      </c>
      <c r="CM1" s="22">
        <f t="shared" si="1"/>
        <v>51</v>
      </c>
      <c r="CN1" s="22">
        <f t="shared" si="1"/>
        <v>52</v>
      </c>
      <c r="CO1" s="22" t="str">
        <f t="shared" si="1"/>
        <v/>
      </c>
      <c r="CP1" s="22" t="str">
        <f t="shared" si="1"/>
        <v/>
      </c>
      <c r="CQ1" s="22">
        <f t="shared" si="1"/>
        <v>53</v>
      </c>
      <c r="CR1" s="22" t="str">
        <f t="shared" si="1"/>
        <v/>
      </c>
      <c r="CS1" s="22">
        <f t="shared" si="1"/>
        <v>54</v>
      </c>
      <c r="CT1" s="22">
        <f t="shared" si="1"/>
        <v>55</v>
      </c>
      <c r="CU1" s="22" t="str">
        <f t="shared" si="1"/>
        <v/>
      </c>
      <c r="CV1" s="22">
        <f t="shared" si="1"/>
        <v>56</v>
      </c>
      <c r="CW1" s="22">
        <f t="shared" si="1"/>
        <v>57</v>
      </c>
      <c r="CX1" s="22" t="str">
        <f t="shared" si="1"/>
        <v/>
      </c>
      <c r="CY1" s="22">
        <f t="shared" si="1"/>
        <v>58</v>
      </c>
      <c r="CZ1" s="22">
        <f t="shared" si="1"/>
        <v>59</v>
      </c>
      <c r="DA1" s="22" t="str">
        <f t="shared" si="1"/>
        <v/>
      </c>
      <c r="DB1" s="22" t="str">
        <f t="shared" si="1"/>
        <v/>
      </c>
      <c r="DC1" s="22">
        <f t="shared" si="1"/>
        <v>60</v>
      </c>
      <c r="DD1" s="22" t="str">
        <f t="shared" si="1"/>
        <v/>
      </c>
      <c r="DE1" s="22">
        <f t="shared" si="1"/>
        <v>61</v>
      </c>
      <c r="DF1" s="22">
        <f t="shared" si="1"/>
        <v>62</v>
      </c>
      <c r="DG1" s="22" t="str">
        <f t="shared" si="1"/>
        <v/>
      </c>
      <c r="DH1" s="22">
        <f t="shared" si="1"/>
        <v>63</v>
      </c>
      <c r="DI1" s="22">
        <f t="shared" si="1"/>
        <v>64</v>
      </c>
      <c r="DJ1" s="22" t="str">
        <f t="shared" si="1"/>
        <v/>
      </c>
      <c r="DK1" s="22" t="str">
        <f t="shared" si="1"/>
        <v/>
      </c>
      <c r="DL1" s="22">
        <f t="shared" si="1"/>
        <v>65</v>
      </c>
      <c r="DM1" s="22" t="str">
        <f t="shared" si="1"/>
        <v/>
      </c>
      <c r="DN1" s="22">
        <f t="shared" si="1"/>
        <v>66</v>
      </c>
      <c r="DO1" s="22">
        <f t="shared" si="1"/>
        <v>67</v>
      </c>
      <c r="DP1" s="22" t="str">
        <f t="shared" si="1"/>
        <v/>
      </c>
      <c r="DQ1" s="22">
        <f t="shared" si="1"/>
        <v>68</v>
      </c>
      <c r="DR1" s="22">
        <f t="shared" si="1"/>
        <v>69</v>
      </c>
      <c r="DS1" s="22" t="str">
        <f t="shared" si="1"/>
        <v/>
      </c>
      <c r="DT1" s="22">
        <f t="shared" si="1"/>
        <v>70</v>
      </c>
      <c r="DU1" s="22">
        <f t="shared" si="1"/>
        <v>71</v>
      </c>
      <c r="DV1" s="22" t="str">
        <f t="shared" si="1"/>
        <v/>
      </c>
      <c r="DW1" s="22" t="str">
        <f t="shared" si="1"/>
        <v/>
      </c>
      <c r="DX1" s="22">
        <f t="shared" si="1"/>
        <v>72</v>
      </c>
      <c r="DY1" s="22" t="str">
        <f t="shared" si="1"/>
        <v/>
      </c>
      <c r="DZ1" s="22">
        <f t="shared" si="1"/>
        <v>73</v>
      </c>
      <c r="EA1" s="22">
        <f t="shared" si="1"/>
        <v>74</v>
      </c>
      <c r="EB1" s="22" t="str">
        <f t="shared" si="1"/>
        <v/>
      </c>
      <c r="EC1" s="22">
        <f t="shared" si="1"/>
        <v>75</v>
      </c>
      <c r="ED1" s="22">
        <f t="shared" si="1"/>
        <v>76</v>
      </c>
      <c r="EE1" s="22" t="str">
        <f t="shared" si="1"/>
        <v/>
      </c>
      <c r="EF1" s="22" t="str">
        <f t="shared" si="1"/>
        <v/>
      </c>
      <c r="EG1" s="22">
        <f t="shared" si="1"/>
        <v>77</v>
      </c>
      <c r="EH1" s="22" t="str">
        <f t="shared" si="1"/>
        <v/>
      </c>
      <c r="EI1" s="22">
        <f t="shared" si="1"/>
        <v>78</v>
      </c>
      <c r="EJ1" s="22">
        <f t="shared" si="1"/>
        <v>79</v>
      </c>
      <c r="EK1" s="22" t="str">
        <f t="shared" si="1"/>
        <v/>
      </c>
      <c r="EL1" s="22">
        <f t="shared" si="1"/>
        <v>80</v>
      </c>
      <c r="EM1" s="22">
        <f t="shared" si="1"/>
        <v>81</v>
      </c>
      <c r="EN1" s="22" t="str">
        <f t="shared" si="1"/>
        <v/>
      </c>
      <c r="EO1" s="22">
        <f t="shared" si="1"/>
        <v>82</v>
      </c>
      <c r="EP1" s="22">
        <f t="shared" si="1"/>
        <v>83</v>
      </c>
      <c r="EQ1" s="22" t="str">
        <f t="shared" si="1"/>
        <v/>
      </c>
      <c r="ER1" s="22" t="str">
        <f t="shared" si="1"/>
        <v/>
      </c>
      <c r="ES1" s="22">
        <f t="shared" si="1"/>
        <v>84</v>
      </c>
      <c r="ET1" s="22" t="str">
        <f t="shared" si="1"/>
        <v/>
      </c>
      <c r="EU1" s="22">
        <f t="shared" si="1"/>
        <v>85</v>
      </c>
      <c r="EV1" s="22">
        <f t="shared" ref="EV1:HG1" si="2">IF(LEN(EA1)&gt;0,EA1+12,"")</f>
        <v>86</v>
      </c>
      <c r="EW1" s="22" t="str">
        <f t="shared" si="2"/>
        <v/>
      </c>
      <c r="EX1" s="22">
        <f t="shared" si="2"/>
        <v>87</v>
      </c>
      <c r="EY1" s="22">
        <f t="shared" si="2"/>
        <v>88</v>
      </c>
      <c r="EZ1" s="22" t="str">
        <f t="shared" si="2"/>
        <v/>
      </c>
      <c r="FA1" s="22" t="str">
        <f t="shared" si="2"/>
        <v/>
      </c>
      <c r="FB1" s="22">
        <f t="shared" si="2"/>
        <v>89</v>
      </c>
      <c r="FC1" s="22" t="str">
        <f t="shared" si="2"/>
        <v/>
      </c>
      <c r="FD1" s="22">
        <f t="shared" si="2"/>
        <v>90</v>
      </c>
      <c r="FE1" s="22">
        <f t="shared" si="2"/>
        <v>91</v>
      </c>
      <c r="FF1" s="22" t="str">
        <f t="shared" si="2"/>
        <v/>
      </c>
      <c r="FG1" s="22">
        <f t="shared" si="2"/>
        <v>92</v>
      </c>
      <c r="FH1" s="22">
        <f t="shared" si="2"/>
        <v>93</v>
      </c>
      <c r="FI1" s="22" t="str">
        <f t="shared" si="2"/>
        <v/>
      </c>
      <c r="FJ1" s="22">
        <f t="shared" si="2"/>
        <v>94</v>
      </c>
      <c r="FK1" s="22">
        <f t="shared" si="2"/>
        <v>95</v>
      </c>
      <c r="FL1" s="22" t="str">
        <f t="shared" si="2"/>
        <v/>
      </c>
      <c r="FM1" s="22" t="str">
        <f t="shared" si="2"/>
        <v/>
      </c>
      <c r="FN1" s="22">
        <f t="shared" si="2"/>
        <v>96</v>
      </c>
      <c r="FO1" s="22" t="str">
        <f t="shared" si="2"/>
        <v/>
      </c>
      <c r="FP1" s="22">
        <f t="shared" si="2"/>
        <v>97</v>
      </c>
      <c r="FQ1" s="22">
        <f t="shared" si="2"/>
        <v>98</v>
      </c>
      <c r="FR1" s="22" t="str">
        <f t="shared" si="2"/>
        <v/>
      </c>
      <c r="FS1" s="22">
        <f t="shared" si="2"/>
        <v>99</v>
      </c>
      <c r="FT1" s="22">
        <f t="shared" si="2"/>
        <v>100</v>
      </c>
      <c r="FU1" s="22" t="str">
        <f t="shared" si="2"/>
        <v/>
      </c>
      <c r="FV1" s="22" t="str">
        <f t="shared" si="2"/>
        <v/>
      </c>
      <c r="FW1" s="22">
        <f t="shared" si="2"/>
        <v>101</v>
      </c>
      <c r="FX1" s="22" t="str">
        <f t="shared" si="2"/>
        <v/>
      </c>
      <c r="FY1" s="22">
        <f t="shared" si="2"/>
        <v>102</v>
      </c>
      <c r="FZ1" s="22">
        <f t="shared" si="2"/>
        <v>103</v>
      </c>
      <c r="GA1" s="22" t="str">
        <f t="shared" si="2"/>
        <v/>
      </c>
      <c r="GB1" s="22">
        <f t="shared" si="2"/>
        <v>104</v>
      </c>
      <c r="GC1" s="22">
        <f t="shared" si="2"/>
        <v>105</v>
      </c>
      <c r="GD1" s="22" t="str">
        <f t="shared" si="2"/>
        <v/>
      </c>
      <c r="GE1" s="22">
        <f t="shared" si="2"/>
        <v>106</v>
      </c>
      <c r="GF1" s="22">
        <f t="shared" si="2"/>
        <v>107</v>
      </c>
      <c r="GG1" s="22" t="str">
        <f t="shared" si="2"/>
        <v/>
      </c>
      <c r="GH1" s="22" t="str">
        <f t="shared" si="2"/>
        <v/>
      </c>
      <c r="GI1" s="22">
        <f t="shared" si="2"/>
        <v>108</v>
      </c>
      <c r="GJ1" s="22" t="str">
        <f t="shared" si="2"/>
        <v/>
      </c>
      <c r="GK1" s="22">
        <f t="shared" si="2"/>
        <v>109</v>
      </c>
      <c r="GL1" s="22">
        <f t="shared" si="2"/>
        <v>110</v>
      </c>
      <c r="GM1" s="22" t="str">
        <f t="shared" si="2"/>
        <v/>
      </c>
      <c r="GN1" s="22">
        <f t="shared" si="2"/>
        <v>111</v>
      </c>
      <c r="GO1" s="22">
        <f t="shared" si="2"/>
        <v>112</v>
      </c>
      <c r="GP1" s="22" t="str">
        <f t="shared" si="2"/>
        <v/>
      </c>
      <c r="GQ1" s="22" t="str">
        <f t="shared" si="2"/>
        <v/>
      </c>
      <c r="GR1" s="22">
        <f t="shared" si="2"/>
        <v>113</v>
      </c>
      <c r="GS1" s="22" t="str">
        <f t="shared" si="2"/>
        <v/>
      </c>
      <c r="GT1" s="22">
        <f t="shared" si="2"/>
        <v>114</v>
      </c>
      <c r="GU1" s="22">
        <f t="shared" si="2"/>
        <v>115</v>
      </c>
      <c r="GV1" s="22" t="str">
        <f t="shared" si="2"/>
        <v/>
      </c>
      <c r="GW1" s="22">
        <f t="shared" si="2"/>
        <v>116</v>
      </c>
      <c r="GX1" s="22">
        <f t="shared" si="2"/>
        <v>117</v>
      </c>
      <c r="GY1" s="22" t="str">
        <f t="shared" si="2"/>
        <v/>
      </c>
      <c r="GZ1" s="22">
        <f t="shared" si="2"/>
        <v>118</v>
      </c>
      <c r="HA1" s="22">
        <f t="shared" si="2"/>
        <v>119</v>
      </c>
      <c r="HB1" s="22" t="str">
        <f t="shared" si="2"/>
        <v/>
      </c>
      <c r="HC1" s="22" t="str">
        <f t="shared" si="2"/>
        <v/>
      </c>
      <c r="HD1" s="22">
        <f t="shared" si="2"/>
        <v>120</v>
      </c>
      <c r="HE1" s="22" t="str">
        <f t="shared" si="2"/>
        <v/>
      </c>
      <c r="HF1" s="22">
        <f t="shared" si="2"/>
        <v>121</v>
      </c>
      <c r="HG1" s="22">
        <f t="shared" si="2"/>
        <v>122</v>
      </c>
      <c r="HH1" s="22" t="str">
        <f t="shared" ref="HH1:HQ1" si="3">IF(LEN(GM1)&gt;0,GM1+12,"")</f>
        <v/>
      </c>
      <c r="HI1" s="22">
        <f t="shared" si="3"/>
        <v>123</v>
      </c>
      <c r="HJ1" s="22">
        <f t="shared" si="3"/>
        <v>124</v>
      </c>
      <c r="HK1" s="22" t="str">
        <f t="shared" si="3"/>
        <v/>
      </c>
      <c r="HL1" s="22" t="str">
        <f t="shared" si="3"/>
        <v/>
      </c>
      <c r="HM1" s="22">
        <f t="shared" si="3"/>
        <v>125</v>
      </c>
      <c r="HN1" s="22" t="str">
        <f t="shared" si="3"/>
        <v/>
      </c>
      <c r="HO1" s="22">
        <f t="shared" si="3"/>
        <v>126</v>
      </c>
      <c r="HP1" s="22">
        <f t="shared" si="3"/>
        <v>127</v>
      </c>
      <c r="HQ1" s="22" t="str">
        <f t="shared" si="3"/>
        <v/>
      </c>
    </row>
    <row r="2" spans="1:226" ht="17.25" customHeight="1" thickBot="1">
      <c r="A2" s="17" t="s">
        <v>823</v>
      </c>
      <c r="B2" s="28">
        <v>-1</v>
      </c>
      <c r="C2" s="28"/>
      <c r="D2" s="28"/>
      <c r="E2" s="28"/>
      <c r="F2" s="28"/>
      <c r="G2" s="28"/>
      <c r="H2" s="28"/>
      <c r="I2" s="28"/>
      <c r="J2" s="28"/>
      <c r="K2" s="28"/>
      <c r="L2" s="28"/>
      <c r="M2" s="28"/>
      <c r="N2" s="28"/>
      <c r="O2" s="28"/>
      <c r="P2" s="28"/>
      <c r="Q2" s="28"/>
      <c r="R2" s="28"/>
      <c r="S2" s="28"/>
      <c r="T2" s="28"/>
      <c r="U2" s="28"/>
      <c r="V2" s="28"/>
      <c r="W2" s="31">
        <v>0</v>
      </c>
      <c r="X2" s="31"/>
      <c r="Y2" s="31"/>
      <c r="Z2" s="31"/>
      <c r="AA2" s="31"/>
      <c r="AB2" s="31"/>
      <c r="AC2" s="31"/>
      <c r="AD2" s="31"/>
      <c r="AE2" s="31"/>
      <c r="AF2" s="31"/>
      <c r="AG2" s="31"/>
      <c r="AH2" s="31"/>
      <c r="AI2" s="31"/>
      <c r="AJ2" s="31"/>
      <c r="AK2" s="31"/>
      <c r="AL2" s="31"/>
      <c r="AM2" s="31"/>
      <c r="AN2" s="31"/>
      <c r="AO2" s="31"/>
      <c r="AP2" s="31"/>
      <c r="AQ2" s="31"/>
      <c r="AR2" s="32">
        <v>1</v>
      </c>
      <c r="AS2" s="32"/>
      <c r="AT2" s="32"/>
      <c r="AU2" s="32"/>
      <c r="AV2" s="32"/>
      <c r="AW2" s="32"/>
      <c r="AX2" s="32"/>
      <c r="AY2" s="32"/>
      <c r="AZ2" s="32"/>
      <c r="BA2" s="32"/>
      <c r="BB2" s="32"/>
      <c r="BC2" s="32"/>
      <c r="BD2" s="32"/>
      <c r="BE2" s="32"/>
      <c r="BF2" s="32"/>
      <c r="BG2" s="32"/>
      <c r="BH2" s="32"/>
      <c r="BI2" s="32"/>
      <c r="BJ2" s="32"/>
      <c r="BK2" s="32"/>
      <c r="BL2" s="32"/>
      <c r="BM2" s="33">
        <v>2</v>
      </c>
      <c r="BN2" s="33"/>
      <c r="BO2" s="33"/>
      <c r="BP2" s="33"/>
      <c r="BQ2" s="33"/>
      <c r="BR2" s="33"/>
      <c r="BS2" s="33"/>
      <c r="BT2" s="33"/>
      <c r="BU2" s="33"/>
      <c r="BV2" s="33"/>
      <c r="BW2" s="33"/>
      <c r="BX2" s="33"/>
      <c r="BY2" s="33"/>
      <c r="BZ2" s="33"/>
      <c r="CA2" s="33"/>
      <c r="CB2" s="33"/>
      <c r="CC2" s="33"/>
      <c r="CD2" s="33"/>
      <c r="CE2" s="33"/>
      <c r="CF2" s="33"/>
      <c r="CG2" s="33"/>
      <c r="CH2" s="34">
        <v>3</v>
      </c>
      <c r="CI2" s="34"/>
      <c r="CJ2" s="34"/>
      <c r="CK2" s="34"/>
      <c r="CL2" s="34"/>
      <c r="CM2" s="34"/>
      <c r="CN2" s="34"/>
      <c r="CO2" s="34"/>
      <c r="CP2" s="34"/>
      <c r="CQ2" s="34"/>
      <c r="CR2" s="34"/>
      <c r="CS2" s="34"/>
      <c r="CT2" s="34"/>
      <c r="CU2" s="34"/>
      <c r="CV2" s="34"/>
      <c r="CW2" s="34"/>
      <c r="CX2" s="34"/>
      <c r="CY2" s="34"/>
      <c r="CZ2" s="34"/>
      <c r="DA2" s="34"/>
      <c r="DB2" s="34"/>
      <c r="DC2" s="35">
        <v>4</v>
      </c>
      <c r="DD2" s="35"/>
      <c r="DE2" s="35"/>
      <c r="DF2" s="35"/>
      <c r="DG2" s="35"/>
      <c r="DH2" s="35"/>
      <c r="DI2" s="35"/>
      <c r="DJ2" s="35"/>
      <c r="DK2" s="35"/>
      <c r="DL2" s="35"/>
      <c r="DM2" s="35"/>
      <c r="DN2" s="35"/>
      <c r="DO2" s="35"/>
      <c r="DP2" s="35"/>
      <c r="DQ2" s="35"/>
      <c r="DR2" s="35"/>
      <c r="DS2" s="35"/>
      <c r="DT2" s="35"/>
      <c r="DU2" s="35"/>
      <c r="DV2" s="35"/>
      <c r="DW2" s="35"/>
      <c r="DX2" s="34">
        <v>5</v>
      </c>
      <c r="DY2" s="34"/>
      <c r="DZ2" s="34"/>
      <c r="EA2" s="34"/>
      <c r="EB2" s="34"/>
      <c r="EC2" s="34"/>
      <c r="ED2" s="34"/>
      <c r="EE2" s="34"/>
      <c r="EF2" s="34"/>
      <c r="EG2" s="34"/>
      <c r="EH2" s="34"/>
      <c r="EI2" s="34"/>
      <c r="EJ2" s="34"/>
      <c r="EK2" s="34"/>
      <c r="EL2" s="34"/>
      <c r="EM2" s="34"/>
      <c r="EN2" s="34"/>
      <c r="EO2" s="34"/>
      <c r="EP2" s="34"/>
      <c r="EQ2" s="34"/>
      <c r="ER2" s="34"/>
      <c r="ES2" s="33">
        <v>6</v>
      </c>
      <c r="ET2" s="33"/>
      <c r="EU2" s="33"/>
      <c r="EV2" s="33"/>
      <c r="EW2" s="33"/>
      <c r="EX2" s="33"/>
      <c r="EY2" s="33"/>
      <c r="EZ2" s="33"/>
      <c r="FA2" s="33"/>
      <c r="FB2" s="33"/>
      <c r="FC2" s="33"/>
      <c r="FD2" s="33"/>
      <c r="FE2" s="33"/>
      <c r="FF2" s="33"/>
      <c r="FG2" s="33"/>
      <c r="FH2" s="33"/>
      <c r="FI2" s="33"/>
      <c r="FJ2" s="33"/>
      <c r="FK2" s="33"/>
      <c r="FL2" s="33"/>
      <c r="FM2" s="33"/>
      <c r="FN2" s="32">
        <v>7</v>
      </c>
      <c r="FO2" s="32"/>
      <c r="FP2" s="32"/>
      <c r="FQ2" s="32"/>
      <c r="FR2" s="32"/>
      <c r="FS2" s="32"/>
      <c r="FT2" s="32"/>
      <c r="FU2" s="32"/>
      <c r="FV2" s="32"/>
      <c r="FW2" s="32"/>
      <c r="FX2" s="32"/>
      <c r="FY2" s="32"/>
      <c r="FZ2" s="32"/>
      <c r="GA2" s="32"/>
      <c r="GB2" s="32"/>
      <c r="GC2" s="32"/>
      <c r="GD2" s="32"/>
      <c r="GE2" s="32"/>
      <c r="GF2" s="32"/>
      <c r="GG2" s="32"/>
      <c r="GH2" s="32"/>
      <c r="GI2" s="31">
        <v>8</v>
      </c>
      <c r="GJ2" s="31"/>
      <c r="GK2" s="31"/>
      <c r="GL2" s="31"/>
      <c r="GM2" s="31"/>
      <c r="GN2" s="31"/>
      <c r="GO2" s="31"/>
      <c r="GP2" s="31"/>
      <c r="GQ2" s="31"/>
      <c r="GR2" s="31"/>
      <c r="GS2" s="31"/>
      <c r="GT2" s="31"/>
      <c r="GU2" s="31"/>
      <c r="GV2" s="31"/>
      <c r="GW2" s="31"/>
      <c r="GX2" s="31"/>
      <c r="GY2" s="31"/>
      <c r="GZ2" s="31"/>
      <c r="HA2" s="31"/>
      <c r="HB2" s="31"/>
      <c r="HC2" s="31"/>
      <c r="HD2" s="28">
        <v>9</v>
      </c>
      <c r="HE2" s="28"/>
      <c r="HF2" s="28"/>
      <c r="HG2" s="28"/>
      <c r="HH2" s="28"/>
      <c r="HI2" s="28"/>
      <c r="HJ2" s="28"/>
      <c r="HK2" s="28"/>
      <c r="HL2" s="28"/>
      <c r="HM2" s="28"/>
      <c r="HN2" s="28"/>
      <c r="HO2" s="28"/>
      <c r="HP2" s="28"/>
      <c r="HQ2" s="28"/>
      <c r="HR2" s="28"/>
    </row>
    <row r="3" spans="1:226" ht="114.75" customHeight="1" thickBot="1">
      <c r="B3" s="20"/>
      <c r="C3" s="19"/>
      <c r="D3" s="29" t="s">
        <v>817</v>
      </c>
      <c r="E3" s="30"/>
      <c r="F3" s="19"/>
      <c r="G3" s="29" t="s">
        <v>816</v>
      </c>
      <c r="H3" s="30"/>
      <c r="I3" s="19"/>
      <c r="J3" s="21"/>
      <c r="K3" s="20"/>
      <c r="L3" s="19"/>
      <c r="M3" s="29" t="s">
        <v>815</v>
      </c>
      <c r="N3" s="30"/>
      <c r="O3" s="19"/>
      <c r="P3" s="29" t="s">
        <v>819</v>
      </c>
      <c r="Q3" s="30"/>
      <c r="R3" s="19"/>
      <c r="S3" s="29" t="s">
        <v>818</v>
      </c>
      <c r="T3" s="30"/>
      <c r="U3" s="19"/>
      <c r="V3" s="21"/>
      <c r="W3" s="20"/>
      <c r="X3" s="19"/>
      <c r="Y3" s="29" t="s">
        <v>817</v>
      </c>
      <c r="Z3" s="30"/>
      <c r="AA3" s="19"/>
      <c r="AB3" s="29" t="s">
        <v>816</v>
      </c>
      <c r="AC3" s="30"/>
      <c r="AD3" s="19"/>
      <c r="AE3" s="21"/>
      <c r="AF3" s="20"/>
      <c r="AG3" s="19"/>
      <c r="AH3" s="29" t="s">
        <v>815</v>
      </c>
      <c r="AI3" s="30"/>
      <c r="AJ3" s="19"/>
      <c r="AK3" s="29" t="s">
        <v>819</v>
      </c>
      <c r="AL3" s="30"/>
      <c r="AM3" s="19"/>
      <c r="AN3" s="29" t="s">
        <v>818</v>
      </c>
      <c r="AO3" s="30"/>
      <c r="AP3" s="19"/>
      <c r="AQ3" s="21"/>
      <c r="AR3" s="20"/>
      <c r="AS3" s="19"/>
      <c r="AT3" s="29" t="s">
        <v>817</v>
      </c>
      <c r="AU3" s="30"/>
      <c r="AV3" s="19"/>
      <c r="AW3" s="29" t="s">
        <v>816</v>
      </c>
      <c r="AX3" s="30"/>
      <c r="AY3" s="19"/>
      <c r="AZ3" s="21"/>
      <c r="BA3" s="20"/>
      <c r="BB3" s="19"/>
      <c r="BC3" s="29" t="s">
        <v>815</v>
      </c>
      <c r="BD3" s="30"/>
      <c r="BE3" s="19"/>
      <c r="BF3" s="29" t="s">
        <v>819</v>
      </c>
      <c r="BG3" s="30"/>
      <c r="BH3" s="19"/>
      <c r="BI3" s="29" t="s">
        <v>818</v>
      </c>
      <c r="BJ3" s="30"/>
      <c r="BK3" s="19"/>
      <c r="BL3" s="21"/>
      <c r="BM3" s="20"/>
      <c r="BN3" s="19"/>
      <c r="BO3" s="29" t="s">
        <v>817</v>
      </c>
      <c r="BP3" s="30"/>
      <c r="BQ3" s="19"/>
      <c r="BR3" s="29" t="s">
        <v>816</v>
      </c>
      <c r="BS3" s="30"/>
      <c r="BT3" s="19"/>
      <c r="BU3" s="21"/>
      <c r="BV3" s="20"/>
      <c r="BW3" s="19"/>
      <c r="BX3" s="29" t="s">
        <v>815</v>
      </c>
      <c r="BY3" s="30"/>
      <c r="BZ3" s="19"/>
      <c r="CA3" s="29" t="s">
        <v>819</v>
      </c>
      <c r="CB3" s="30"/>
      <c r="CC3" s="19"/>
      <c r="CD3" s="29" t="s">
        <v>818</v>
      </c>
      <c r="CE3" s="30"/>
      <c r="CF3" s="19"/>
      <c r="CG3" s="21"/>
      <c r="CH3" s="20"/>
      <c r="CI3" s="19"/>
      <c r="CJ3" s="29" t="s">
        <v>817</v>
      </c>
      <c r="CK3" s="30"/>
      <c r="CL3" s="19"/>
      <c r="CM3" s="29" t="s">
        <v>816</v>
      </c>
      <c r="CN3" s="30"/>
      <c r="CO3" s="19"/>
      <c r="CP3" s="21"/>
      <c r="CQ3" s="20"/>
      <c r="CR3" s="19"/>
      <c r="CS3" s="29" t="s">
        <v>815</v>
      </c>
      <c r="CT3" s="30"/>
      <c r="CU3" s="19"/>
      <c r="CV3" s="29" t="s">
        <v>819</v>
      </c>
      <c r="CW3" s="30"/>
      <c r="CX3" s="19"/>
      <c r="CY3" s="29" t="s">
        <v>818</v>
      </c>
      <c r="CZ3" s="30"/>
      <c r="DA3" s="19"/>
      <c r="DB3" s="21"/>
      <c r="DC3" s="20"/>
      <c r="DD3" s="19"/>
      <c r="DE3" s="29" t="s">
        <v>817</v>
      </c>
      <c r="DF3" s="30"/>
      <c r="DG3" s="19"/>
      <c r="DH3" s="29" t="s">
        <v>816</v>
      </c>
      <c r="DI3" s="30"/>
      <c r="DJ3" s="19"/>
      <c r="DK3" s="21"/>
      <c r="DL3" s="20"/>
      <c r="DM3" s="19"/>
      <c r="DN3" s="29" t="s">
        <v>815</v>
      </c>
      <c r="DO3" s="30"/>
      <c r="DP3" s="19"/>
      <c r="DQ3" s="29" t="s">
        <v>819</v>
      </c>
      <c r="DR3" s="30"/>
      <c r="DS3" s="19"/>
      <c r="DT3" s="29" t="s">
        <v>818</v>
      </c>
      <c r="DU3" s="30"/>
      <c r="DV3" s="19"/>
      <c r="DW3" s="21"/>
      <c r="DX3" s="20"/>
      <c r="DY3" s="19"/>
      <c r="DZ3" s="29" t="s">
        <v>817</v>
      </c>
      <c r="EA3" s="30"/>
      <c r="EB3" s="19"/>
      <c r="EC3" s="29" t="s">
        <v>816</v>
      </c>
      <c r="ED3" s="30"/>
      <c r="EE3" s="19"/>
      <c r="EF3" s="21"/>
      <c r="EG3" s="20"/>
      <c r="EH3" s="19"/>
      <c r="EI3" s="29" t="s">
        <v>815</v>
      </c>
      <c r="EJ3" s="30"/>
      <c r="EK3" s="19"/>
      <c r="EL3" s="29" t="s">
        <v>819</v>
      </c>
      <c r="EM3" s="30"/>
      <c r="EN3" s="19"/>
      <c r="EO3" s="29" t="s">
        <v>818</v>
      </c>
      <c r="EP3" s="30"/>
      <c r="EQ3" s="19"/>
      <c r="ER3" s="21"/>
      <c r="ES3" s="20"/>
      <c r="ET3" s="19"/>
      <c r="EU3" s="29" t="s">
        <v>817</v>
      </c>
      <c r="EV3" s="30"/>
      <c r="EW3" s="19"/>
      <c r="EX3" s="29" t="s">
        <v>816</v>
      </c>
      <c r="EY3" s="30"/>
      <c r="EZ3" s="19"/>
      <c r="FA3" s="21"/>
      <c r="FB3" s="20"/>
      <c r="FC3" s="19"/>
      <c r="FD3" s="29" t="s">
        <v>815</v>
      </c>
      <c r="FE3" s="30"/>
      <c r="FF3" s="19"/>
      <c r="FG3" s="29" t="s">
        <v>819</v>
      </c>
      <c r="FH3" s="30"/>
      <c r="FI3" s="19"/>
      <c r="FJ3" s="29" t="s">
        <v>818</v>
      </c>
      <c r="FK3" s="30"/>
      <c r="FL3" s="19"/>
      <c r="FM3" s="21"/>
      <c r="FN3" s="20"/>
      <c r="FO3" s="19"/>
      <c r="FP3" s="29" t="s">
        <v>817</v>
      </c>
      <c r="FQ3" s="30"/>
      <c r="FR3" s="19"/>
      <c r="FS3" s="29" t="s">
        <v>816</v>
      </c>
      <c r="FT3" s="30"/>
      <c r="FU3" s="19"/>
      <c r="FV3" s="21"/>
      <c r="FW3" s="20"/>
      <c r="FX3" s="19"/>
      <c r="FY3" s="29" t="s">
        <v>815</v>
      </c>
      <c r="FZ3" s="30"/>
      <c r="GA3" s="19"/>
      <c r="GB3" s="29" t="s">
        <v>819</v>
      </c>
      <c r="GC3" s="30"/>
      <c r="GD3" s="19"/>
      <c r="GE3" s="29" t="s">
        <v>818</v>
      </c>
      <c r="GF3" s="30"/>
      <c r="GG3" s="19"/>
      <c r="GH3" s="21"/>
      <c r="GI3" s="20"/>
      <c r="GJ3" s="19"/>
      <c r="GK3" s="29" t="s">
        <v>817</v>
      </c>
      <c r="GL3" s="30"/>
      <c r="GM3" s="19"/>
      <c r="GN3" s="29" t="s">
        <v>816</v>
      </c>
      <c r="GO3" s="30"/>
      <c r="GP3" s="19"/>
      <c r="GQ3" s="21"/>
      <c r="GR3" s="20"/>
      <c r="GS3" s="19"/>
      <c r="GT3" s="29" t="s">
        <v>815</v>
      </c>
      <c r="GU3" s="30"/>
      <c r="GV3" s="19"/>
      <c r="GW3" s="29" t="s">
        <v>819</v>
      </c>
      <c r="GX3" s="30"/>
      <c r="GY3" s="19"/>
      <c r="GZ3" s="29" t="s">
        <v>818</v>
      </c>
      <c r="HA3" s="30"/>
      <c r="HB3" s="19"/>
      <c r="HC3" s="21"/>
      <c r="HD3" s="20"/>
      <c r="HE3" s="19"/>
      <c r="HF3" s="29" t="s">
        <v>817</v>
      </c>
      <c r="HG3" s="30"/>
      <c r="HH3" s="19"/>
      <c r="HI3" s="29" t="s">
        <v>816</v>
      </c>
      <c r="HJ3" s="30"/>
      <c r="HK3" s="19"/>
      <c r="HL3" s="21"/>
      <c r="HM3" s="20"/>
      <c r="HN3" s="19"/>
      <c r="HO3" s="29" t="s">
        <v>815</v>
      </c>
      <c r="HP3" s="30"/>
      <c r="HQ3" s="19"/>
      <c r="HR3" s="18"/>
    </row>
    <row r="4" spans="1:226" ht="66" customHeight="1" thickBot="1">
      <c r="B4" s="25" t="s">
        <v>812</v>
      </c>
      <c r="C4" s="26"/>
      <c r="D4" s="27"/>
      <c r="E4" s="25" t="s">
        <v>811</v>
      </c>
      <c r="F4" s="26"/>
      <c r="G4" s="27"/>
      <c r="H4" s="25" t="s">
        <v>810</v>
      </c>
      <c r="I4" s="26"/>
      <c r="J4" s="27"/>
      <c r="K4" s="25" t="s">
        <v>809</v>
      </c>
      <c r="L4" s="26"/>
      <c r="M4" s="27"/>
      <c r="N4" s="25" t="s">
        <v>808</v>
      </c>
      <c r="O4" s="26"/>
      <c r="P4" s="27"/>
      <c r="Q4" s="25" t="s">
        <v>814</v>
      </c>
      <c r="R4" s="26"/>
      <c r="S4" s="27"/>
      <c r="T4" s="25" t="s">
        <v>813</v>
      </c>
      <c r="U4" s="26"/>
      <c r="V4" s="27"/>
      <c r="W4" s="25" t="s">
        <v>812</v>
      </c>
      <c r="X4" s="26"/>
      <c r="Y4" s="27"/>
      <c r="Z4" s="25" t="s">
        <v>811</v>
      </c>
      <c r="AA4" s="26"/>
      <c r="AB4" s="27"/>
      <c r="AC4" s="25" t="s">
        <v>810</v>
      </c>
      <c r="AD4" s="26"/>
      <c r="AE4" s="27"/>
      <c r="AF4" s="25" t="s">
        <v>809</v>
      </c>
      <c r="AG4" s="26"/>
      <c r="AH4" s="27"/>
      <c r="AI4" s="25" t="s">
        <v>808</v>
      </c>
      <c r="AJ4" s="26"/>
      <c r="AK4" s="27"/>
      <c r="AL4" s="25" t="s">
        <v>814</v>
      </c>
      <c r="AM4" s="26"/>
      <c r="AN4" s="27"/>
      <c r="AO4" s="25" t="s">
        <v>813</v>
      </c>
      <c r="AP4" s="26"/>
      <c r="AQ4" s="27"/>
      <c r="AR4" s="25" t="s">
        <v>812</v>
      </c>
      <c r="AS4" s="26"/>
      <c r="AT4" s="27"/>
      <c r="AU4" s="25" t="s">
        <v>811</v>
      </c>
      <c r="AV4" s="26"/>
      <c r="AW4" s="27"/>
      <c r="AX4" s="25" t="s">
        <v>810</v>
      </c>
      <c r="AY4" s="26"/>
      <c r="AZ4" s="27"/>
      <c r="BA4" s="25" t="s">
        <v>809</v>
      </c>
      <c r="BB4" s="26"/>
      <c r="BC4" s="27"/>
      <c r="BD4" s="25" t="s">
        <v>808</v>
      </c>
      <c r="BE4" s="26"/>
      <c r="BF4" s="27"/>
      <c r="BG4" s="25" t="s">
        <v>814</v>
      </c>
      <c r="BH4" s="26"/>
      <c r="BI4" s="27"/>
      <c r="BJ4" s="25" t="s">
        <v>813</v>
      </c>
      <c r="BK4" s="26"/>
      <c r="BL4" s="27"/>
      <c r="BM4" s="25" t="s">
        <v>812</v>
      </c>
      <c r="BN4" s="26"/>
      <c r="BO4" s="27"/>
      <c r="BP4" s="25" t="s">
        <v>811</v>
      </c>
      <c r="BQ4" s="26"/>
      <c r="BR4" s="27"/>
      <c r="BS4" s="25" t="s">
        <v>810</v>
      </c>
      <c r="BT4" s="26"/>
      <c r="BU4" s="27"/>
      <c r="BV4" s="25" t="s">
        <v>809</v>
      </c>
      <c r="BW4" s="26"/>
      <c r="BX4" s="27"/>
      <c r="BY4" s="25" t="s">
        <v>808</v>
      </c>
      <c r="BZ4" s="26"/>
      <c r="CA4" s="27"/>
      <c r="CB4" s="25" t="s">
        <v>814</v>
      </c>
      <c r="CC4" s="26"/>
      <c r="CD4" s="27"/>
      <c r="CE4" s="25" t="s">
        <v>813</v>
      </c>
      <c r="CF4" s="26"/>
      <c r="CG4" s="27"/>
      <c r="CH4" s="25" t="s">
        <v>812</v>
      </c>
      <c r="CI4" s="26"/>
      <c r="CJ4" s="27"/>
      <c r="CK4" s="25" t="s">
        <v>811</v>
      </c>
      <c r="CL4" s="26"/>
      <c r="CM4" s="27"/>
      <c r="CN4" s="25" t="s">
        <v>810</v>
      </c>
      <c r="CO4" s="26"/>
      <c r="CP4" s="27"/>
      <c r="CQ4" s="25" t="s">
        <v>809</v>
      </c>
      <c r="CR4" s="26"/>
      <c r="CS4" s="27"/>
      <c r="CT4" s="25" t="s">
        <v>808</v>
      </c>
      <c r="CU4" s="26"/>
      <c r="CV4" s="27"/>
      <c r="CW4" s="25" t="s">
        <v>814</v>
      </c>
      <c r="CX4" s="26"/>
      <c r="CY4" s="27"/>
      <c r="CZ4" s="25" t="s">
        <v>813</v>
      </c>
      <c r="DA4" s="26"/>
      <c r="DB4" s="27"/>
      <c r="DC4" s="25" t="s">
        <v>812</v>
      </c>
      <c r="DD4" s="26"/>
      <c r="DE4" s="27"/>
      <c r="DF4" s="25" t="s">
        <v>811</v>
      </c>
      <c r="DG4" s="26"/>
      <c r="DH4" s="27"/>
      <c r="DI4" s="25" t="s">
        <v>810</v>
      </c>
      <c r="DJ4" s="26"/>
      <c r="DK4" s="27"/>
      <c r="DL4" s="25" t="s">
        <v>809</v>
      </c>
      <c r="DM4" s="26"/>
      <c r="DN4" s="27"/>
      <c r="DO4" s="25" t="s">
        <v>808</v>
      </c>
      <c r="DP4" s="26"/>
      <c r="DQ4" s="27"/>
      <c r="DR4" s="25" t="s">
        <v>814</v>
      </c>
      <c r="DS4" s="26"/>
      <c r="DT4" s="27"/>
      <c r="DU4" s="25" t="s">
        <v>813</v>
      </c>
      <c r="DV4" s="26"/>
      <c r="DW4" s="27"/>
      <c r="DX4" s="25" t="s">
        <v>812</v>
      </c>
      <c r="DY4" s="26"/>
      <c r="DZ4" s="27"/>
      <c r="EA4" s="25" t="s">
        <v>811</v>
      </c>
      <c r="EB4" s="26"/>
      <c r="EC4" s="27"/>
      <c r="ED4" s="25" t="s">
        <v>810</v>
      </c>
      <c r="EE4" s="26"/>
      <c r="EF4" s="27"/>
      <c r="EG4" s="25" t="s">
        <v>809</v>
      </c>
      <c r="EH4" s="26"/>
      <c r="EI4" s="27"/>
      <c r="EJ4" s="25" t="s">
        <v>808</v>
      </c>
      <c r="EK4" s="26"/>
      <c r="EL4" s="27"/>
      <c r="EM4" s="25" t="s">
        <v>814</v>
      </c>
      <c r="EN4" s="26"/>
      <c r="EO4" s="27"/>
      <c r="EP4" s="25" t="s">
        <v>813</v>
      </c>
      <c r="EQ4" s="26"/>
      <c r="ER4" s="27"/>
      <c r="ES4" s="25" t="s">
        <v>812</v>
      </c>
      <c r="ET4" s="26"/>
      <c r="EU4" s="27"/>
      <c r="EV4" s="25" t="s">
        <v>811</v>
      </c>
      <c r="EW4" s="26"/>
      <c r="EX4" s="27"/>
      <c r="EY4" s="25" t="s">
        <v>810</v>
      </c>
      <c r="EZ4" s="26"/>
      <c r="FA4" s="27"/>
      <c r="FB4" s="25" t="s">
        <v>809</v>
      </c>
      <c r="FC4" s="26"/>
      <c r="FD4" s="27"/>
      <c r="FE4" s="25" t="s">
        <v>808</v>
      </c>
      <c r="FF4" s="26"/>
      <c r="FG4" s="27"/>
      <c r="FH4" s="25" t="s">
        <v>814</v>
      </c>
      <c r="FI4" s="26"/>
      <c r="FJ4" s="27"/>
      <c r="FK4" s="25" t="s">
        <v>813</v>
      </c>
      <c r="FL4" s="26"/>
      <c r="FM4" s="27"/>
      <c r="FN4" s="25" t="s">
        <v>812</v>
      </c>
      <c r="FO4" s="26"/>
      <c r="FP4" s="27"/>
      <c r="FQ4" s="25" t="s">
        <v>811</v>
      </c>
      <c r="FR4" s="26"/>
      <c r="FS4" s="27"/>
      <c r="FT4" s="25" t="s">
        <v>810</v>
      </c>
      <c r="FU4" s="26"/>
      <c r="FV4" s="27"/>
      <c r="FW4" s="25" t="s">
        <v>809</v>
      </c>
      <c r="FX4" s="26"/>
      <c r="FY4" s="27"/>
      <c r="FZ4" s="25" t="s">
        <v>808</v>
      </c>
      <c r="GA4" s="26"/>
      <c r="GB4" s="27"/>
      <c r="GC4" s="25" t="s">
        <v>814</v>
      </c>
      <c r="GD4" s="26"/>
      <c r="GE4" s="27"/>
      <c r="GF4" s="25" t="s">
        <v>813</v>
      </c>
      <c r="GG4" s="26"/>
      <c r="GH4" s="27"/>
      <c r="GI4" s="25" t="s">
        <v>812</v>
      </c>
      <c r="GJ4" s="26"/>
      <c r="GK4" s="27"/>
      <c r="GL4" s="25" t="s">
        <v>811</v>
      </c>
      <c r="GM4" s="26"/>
      <c r="GN4" s="27"/>
      <c r="GO4" s="25" t="s">
        <v>810</v>
      </c>
      <c r="GP4" s="26"/>
      <c r="GQ4" s="27"/>
      <c r="GR4" s="25" t="s">
        <v>809</v>
      </c>
      <c r="GS4" s="26"/>
      <c r="GT4" s="27"/>
      <c r="GU4" s="25" t="s">
        <v>808</v>
      </c>
      <c r="GV4" s="26"/>
      <c r="GW4" s="27"/>
      <c r="GX4" s="25" t="s">
        <v>814</v>
      </c>
      <c r="GY4" s="26"/>
      <c r="GZ4" s="27"/>
      <c r="HA4" s="25" t="s">
        <v>813</v>
      </c>
      <c r="HB4" s="26"/>
      <c r="HC4" s="27"/>
      <c r="HD4" s="25" t="s">
        <v>812</v>
      </c>
      <c r="HE4" s="26"/>
      <c r="HF4" s="27"/>
      <c r="HG4" s="25" t="s">
        <v>811</v>
      </c>
      <c r="HH4" s="26"/>
      <c r="HI4" s="27"/>
      <c r="HJ4" s="25" t="s">
        <v>810</v>
      </c>
      <c r="HK4" s="26"/>
      <c r="HL4" s="27"/>
      <c r="HM4" s="25" t="s">
        <v>809</v>
      </c>
      <c r="HN4" s="26"/>
      <c r="HO4" s="27"/>
      <c r="HP4" s="25" t="s">
        <v>808</v>
      </c>
      <c r="HQ4" s="26"/>
      <c r="HR4" s="27"/>
    </row>
    <row r="5" spans="1:226" ht="3.75" customHeight="1"/>
  </sheetData>
  <mergeCells count="139">
    <mergeCell ref="D3:E3"/>
    <mergeCell ref="G3:H3"/>
    <mergeCell ref="M3:N3"/>
    <mergeCell ref="P3:Q3"/>
    <mergeCell ref="S3:T3"/>
    <mergeCell ref="B2:V2"/>
    <mergeCell ref="W2:AQ2"/>
    <mergeCell ref="Y3:Z3"/>
    <mergeCell ref="AB3:AC3"/>
    <mergeCell ref="AH3:AI3"/>
    <mergeCell ref="AK3:AL3"/>
    <mergeCell ref="AN3:AO3"/>
    <mergeCell ref="AR2:BL2"/>
    <mergeCell ref="AT3:AU3"/>
    <mergeCell ref="AW3:AX3"/>
    <mergeCell ref="BC3:BD3"/>
    <mergeCell ref="BF3:BG3"/>
    <mergeCell ref="BI3:BJ3"/>
    <mergeCell ref="AR4:AT4"/>
    <mergeCell ref="AU4:AW4"/>
    <mergeCell ref="AX4:AZ4"/>
    <mergeCell ref="BA4:BC4"/>
    <mergeCell ref="BD4:BF4"/>
    <mergeCell ref="BG4:BI4"/>
    <mergeCell ref="BJ4:BL4"/>
    <mergeCell ref="BM2:CG2"/>
    <mergeCell ref="BO3:BP3"/>
    <mergeCell ref="BR3:BS3"/>
    <mergeCell ref="BX3:BY3"/>
    <mergeCell ref="CA3:CB3"/>
    <mergeCell ref="CD3:CE3"/>
    <mergeCell ref="BM4:BO4"/>
    <mergeCell ref="BP4:BR4"/>
    <mergeCell ref="BS4:BU4"/>
    <mergeCell ref="BV4:BX4"/>
    <mergeCell ref="BY4:CA4"/>
    <mergeCell ref="CB4:CD4"/>
    <mergeCell ref="CE4:CG4"/>
    <mergeCell ref="CH2:DB2"/>
    <mergeCell ref="CJ3:CK3"/>
    <mergeCell ref="CM3:CN3"/>
    <mergeCell ref="CS3:CT3"/>
    <mergeCell ref="CV3:CW3"/>
    <mergeCell ref="CY3:CZ3"/>
    <mergeCell ref="CH4:CJ4"/>
    <mergeCell ref="CK4:CM4"/>
    <mergeCell ref="CN4:CP4"/>
    <mergeCell ref="CQ4:CS4"/>
    <mergeCell ref="CT4:CV4"/>
    <mergeCell ref="CW4:CY4"/>
    <mergeCell ref="CZ4:DB4"/>
    <mergeCell ref="DC2:DW2"/>
    <mergeCell ref="DE3:DF3"/>
    <mergeCell ref="DH3:DI3"/>
    <mergeCell ref="DN3:DO3"/>
    <mergeCell ref="DQ3:DR3"/>
    <mergeCell ref="DT3:DU3"/>
    <mergeCell ref="DC4:DE4"/>
    <mergeCell ref="DF4:DH4"/>
    <mergeCell ref="DI4:DK4"/>
    <mergeCell ref="DL4:DN4"/>
    <mergeCell ref="DO4:DQ4"/>
    <mergeCell ref="DR4:DT4"/>
    <mergeCell ref="DU4:DW4"/>
    <mergeCell ref="DX2:ER2"/>
    <mergeCell ref="DZ3:EA3"/>
    <mergeCell ref="EC3:ED3"/>
    <mergeCell ref="EI3:EJ3"/>
    <mergeCell ref="EL3:EM3"/>
    <mergeCell ref="EO3:EP3"/>
    <mergeCell ref="DX4:DZ4"/>
    <mergeCell ref="EA4:EC4"/>
    <mergeCell ref="ED4:EF4"/>
    <mergeCell ref="EG4:EI4"/>
    <mergeCell ref="EJ4:EL4"/>
    <mergeCell ref="EM4:EO4"/>
    <mergeCell ref="EP4:ER4"/>
    <mergeCell ref="ES2:FM2"/>
    <mergeCell ref="EU3:EV3"/>
    <mergeCell ref="EX3:EY3"/>
    <mergeCell ref="FD3:FE3"/>
    <mergeCell ref="FG3:FH3"/>
    <mergeCell ref="FJ3:FK3"/>
    <mergeCell ref="ES4:EU4"/>
    <mergeCell ref="EV4:EX4"/>
    <mergeCell ref="EY4:FA4"/>
    <mergeCell ref="FB4:FD4"/>
    <mergeCell ref="FE4:FG4"/>
    <mergeCell ref="FH4:FJ4"/>
    <mergeCell ref="FK4:FM4"/>
    <mergeCell ref="FN2:GH2"/>
    <mergeCell ref="FP3:FQ3"/>
    <mergeCell ref="FS3:FT3"/>
    <mergeCell ref="FY3:FZ3"/>
    <mergeCell ref="GB3:GC3"/>
    <mergeCell ref="GE3:GF3"/>
    <mergeCell ref="FN4:FP4"/>
    <mergeCell ref="FQ4:FS4"/>
    <mergeCell ref="FT4:FV4"/>
    <mergeCell ref="FW4:FY4"/>
    <mergeCell ref="FZ4:GB4"/>
    <mergeCell ref="GC4:GE4"/>
    <mergeCell ref="GF4:GH4"/>
    <mergeCell ref="HP4:HR4"/>
    <mergeCell ref="HD2:HR2"/>
    <mergeCell ref="HA4:HC4"/>
    <mergeCell ref="HF3:HG3"/>
    <mergeCell ref="HI3:HJ3"/>
    <mergeCell ref="HO3:HP3"/>
    <mergeCell ref="HD4:HF4"/>
    <mergeCell ref="HG4:HI4"/>
    <mergeCell ref="HJ4:HL4"/>
    <mergeCell ref="GI2:HC2"/>
    <mergeCell ref="GK3:GL3"/>
    <mergeCell ref="GN3:GO3"/>
    <mergeCell ref="GT3:GU3"/>
    <mergeCell ref="GW3:GX3"/>
    <mergeCell ref="GZ3:HA3"/>
    <mergeCell ref="GI4:GK4"/>
    <mergeCell ref="GL4:GN4"/>
    <mergeCell ref="GO4:GQ4"/>
    <mergeCell ref="GR4:GT4"/>
    <mergeCell ref="GU4:GW4"/>
    <mergeCell ref="GX4:GZ4"/>
    <mergeCell ref="HM4:HO4"/>
    <mergeCell ref="AC4:AE4"/>
    <mergeCell ref="AF4:AH4"/>
    <mergeCell ref="AI4:AK4"/>
    <mergeCell ref="AL4:AN4"/>
    <mergeCell ref="AO4:AQ4"/>
    <mergeCell ref="B4:D4"/>
    <mergeCell ref="E4:G4"/>
    <mergeCell ref="T4:V4"/>
    <mergeCell ref="Q4:S4"/>
    <mergeCell ref="N4:P4"/>
    <mergeCell ref="K4:M4"/>
    <mergeCell ref="H4:J4"/>
    <mergeCell ref="W4:Y4"/>
    <mergeCell ref="Z4:AB4"/>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2075" r:id="rId4" name="ucCmd_ChannelMute">
          <controlPr defaultSize="0" autoLine="0" autoPict="0" r:id="rId5">
            <anchor moveWithCells="1">
              <from>
                <xdr:col>0</xdr:col>
                <xdr:colOff>0</xdr:colOff>
                <xdr:row>3</xdr:row>
                <xdr:rowOff>47625</xdr:rowOff>
              </from>
              <to>
                <xdr:col>0</xdr:col>
                <xdr:colOff>752475</xdr:colOff>
                <xdr:row>3</xdr:row>
                <xdr:rowOff>323850</xdr:rowOff>
              </to>
            </anchor>
          </controlPr>
        </control>
      </mc:Choice>
      <mc:Fallback>
        <control shapeId="2075" r:id="rId4" name="ucCmd_ChannelMute"/>
      </mc:Fallback>
    </mc:AlternateContent>
    <mc:AlternateContent xmlns:mc="http://schemas.openxmlformats.org/markup-compatibility/2006">
      <mc:Choice Requires="x14">
        <control shapeId="2074" r:id="rId6" name="Label5">
          <controlPr defaultSize="0" autoLine="0" r:id="rId7">
            <anchor moveWithCells="1">
              <from>
                <xdr:col>0</xdr:col>
                <xdr:colOff>66675</xdr:colOff>
                <xdr:row>2</xdr:row>
                <xdr:rowOff>1104900</xdr:rowOff>
              </from>
              <to>
                <xdr:col>0</xdr:col>
                <xdr:colOff>1314450</xdr:colOff>
                <xdr:row>2</xdr:row>
                <xdr:rowOff>1228725</xdr:rowOff>
              </to>
            </anchor>
          </controlPr>
        </control>
      </mc:Choice>
      <mc:Fallback>
        <control shapeId="2074" r:id="rId6" name="Label5"/>
      </mc:Fallback>
    </mc:AlternateContent>
    <mc:AlternateContent xmlns:mc="http://schemas.openxmlformats.org/markup-compatibility/2006">
      <mc:Choice Requires="x14">
        <control shapeId="2073" r:id="rId8" name="Label4">
          <controlPr defaultSize="0" autoLine="0" r:id="rId9">
            <anchor moveWithCells="1">
              <from>
                <xdr:col>0</xdr:col>
                <xdr:colOff>57150</xdr:colOff>
                <xdr:row>2</xdr:row>
                <xdr:rowOff>695325</xdr:rowOff>
              </from>
              <to>
                <xdr:col>0</xdr:col>
                <xdr:colOff>1304925</xdr:colOff>
                <xdr:row>2</xdr:row>
                <xdr:rowOff>819150</xdr:rowOff>
              </to>
            </anchor>
          </controlPr>
        </control>
      </mc:Choice>
      <mc:Fallback>
        <control shapeId="2073" r:id="rId8" name="Label4"/>
      </mc:Fallback>
    </mc:AlternateContent>
    <mc:AlternateContent xmlns:mc="http://schemas.openxmlformats.org/markup-compatibility/2006">
      <mc:Choice Requires="x14">
        <control shapeId="2070" r:id="rId10" name="Label3">
          <controlPr defaultSize="0" autoLine="0" r:id="rId11">
            <anchor moveWithCells="1">
              <from>
                <xdr:col>0</xdr:col>
                <xdr:colOff>28575</xdr:colOff>
                <xdr:row>2</xdr:row>
                <xdr:rowOff>57150</xdr:rowOff>
              </from>
              <to>
                <xdr:col>0</xdr:col>
                <xdr:colOff>1276350</xdr:colOff>
                <xdr:row>2</xdr:row>
                <xdr:rowOff>180975</xdr:rowOff>
              </to>
            </anchor>
          </controlPr>
        </control>
      </mc:Choice>
      <mc:Fallback>
        <control shapeId="2070" r:id="rId10" name="Label3"/>
      </mc:Fallback>
    </mc:AlternateContent>
    <mc:AlternateContent xmlns:mc="http://schemas.openxmlformats.org/markup-compatibility/2006">
      <mc:Choice Requires="x14">
        <control shapeId="2068" r:id="rId12" name="Label2">
          <controlPr defaultSize="0" autoLine="0" r:id="rId13">
            <anchor moveWithCells="1">
              <from>
                <xdr:col>0</xdr:col>
                <xdr:colOff>28575</xdr:colOff>
                <xdr:row>2</xdr:row>
                <xdr:rowOff>1266825</xdr:rowOff>
              </from>
              <to>
                <xdr:col>0</xdr:col>
                <xdr:colOff>371475</xdr:colOff>
                <xdr:row>2</xdr:row>
                <xdr:rowOff>1428750</xdr:rowOff>
              </to>
            </anchor>
          </controlPr>
        </control>
      </mc:Choice>
      <mc:Fallback>
        <control shapeId="2068" r:id="rId12" name="Label2"/>
      </mc:Fallback>
    </mc:AlternateContent>
    <mc:AlternateContent xmlns:mc="http://schemas.openxmlformats.org/markup-compatibility/2006">
      <mc:Choice Requires="x14">
        <control shapeId="2067" r:id="rId14" name="ucSpinButton_Channel">
          <controlPr defaultSize="0" autoLine="0" r:id="rId15">
            <anchor moveWithCells="1">
              <from>
                <xdr:col>0</xdr:col>
                <xdr:colOff>1123950</xdr:colOff>
                <xdr:row>2</xdr:row>
                <xdr:rowOff>819150</xdr:rowOff>
              </from>
              <to>
                <xdr:col>0</xdr:col>
                <xdr:colOff>1276350</xdr:colOff>
                <xdr:row>2</xdr:row>
                <xdr:rowOff>1076325</xdr:rowOff>
              </to>
            </anchor>
          </controlPr>
        </control>
      </mc:Choice>
      <mc:Fallback>
        <control shapeId="2067" r:id="rId14" name="ucSpinButton_Channel"/>
      </mc:Fallback>
    </mc:AlternateContent>
    <mc:AlternateContent xmlns:mc="http://schemas.openxmlformats.org/markup-compatibility/2006">
      <mc:Choice Requires="x14">
        <control shapeId="2066" r:id="rId16" name="ucSpinButton_Velocity2">
          <controlPr defaultSize="0" autoLine="0" r:id="rId15">
            <anchor moveWithCells="1">
              <from>
                <xdr:col>0</xdr:col>
                <xdr:colOff>1123950</xdr:colOff>
                <xdr:row>2</xdr:row>
                <xdr:rowOff>1219200</xdr:rowOff>
              </from>
              <to>
                <xdr:col>0</xdr:col>
                <xdr:colOff>1276350</xdr:colOff>
                <xdr:row>3</xdr:row>
                <xdr:rowOff>19050</xdr:rowOff>
              </to>
            </anchor>
          </controlPr>
        </control>
      </mc:Choice>
      <mc:Fallback>
        <control shapeId="2066" r:id="rId16" name="ucSpinButton_Velocity2"/>
      </mc:Fallback>
    </mc:AlternateContent>
    <mc:AlternateContent xmlns:mc="http://schemas.openxmlformats.org/markup-compatibility/2006">
      <mc:Choice Requires="x14">
        <control shapeId="2065" r:id="rId17" name="Label1">
          <controlPr defaultSize="0" autoLine="0" r:id="rId18">
            <anchor moveWithCells="1">
              <from>
                <xdr:col>0</xdr:col>
                <xdr:colOff>57150</xdr:colOff>
                <xdr:row>2</xdr:row>
                <xdr:rowOff>847725</xdr:rowOff>
              </from>
              <to>
                <xdr:col>0</xdr:col>
                <xdr:colOff>400050</xdr:colOff>
                <xdr:row>2</xdr:row>
                <xdr:rowOff>1009650</xdr:rowOff>
              </to>
            </anchor>
          </controlPr>
        </control>
      </mc:Choice>
      <mc:Fallback>
        <control shapeId="2065" r:id="rId17" name="Label1"/>
      </mc:Fallback>
    </mc:AlternateContent>
    <mc:AlternateContent xmlns:mc="http://schemas.openxmlformats.org/markup-compatibility/2006">
      <mc:Choice Requires="x14">
        <control shapeId="2064" r:id="rId19" name="ucSpinButton_Velocity">
          <controlPr defaultSize="0" autoLine="0" r:id="rId15">
            <anchor moveWithCells="1">
              <from>
                <xdr:col>0</xdr:col>
                <xdr:colOff>952500</xdr:colOff>
                <xdr:row>2</xdr:row>
                <xdr:rowOff>1219200</xdr:rowOff>
              </from>
              <to>
                <xdr:col>0</xdr:col>
                <xdr:colOff>1104900</xdr:colOff>
                <xdr:row>3</xdr:row>
                <xdr:rowOff>19050</xdr:rowOff>
              </to>
            </anchor>
          </controlPr>
        </control>
      </mc:Choice>
      <mc:Fallback>
        <control shapeId="2064" r:id="rId19" name="ucSpinButton_Velocity"/>
      </mc:Fallback>
    </mc:AlternateContent>
    <mc:AlternateContent xmlns:mc="http://schemas.openxmlformats.org/markup-compatibility/2006">
      <mc:Choice Requires="x14">
        <control shapeId="2062" r:id="rId20" name="ucCmd_StopPlay">
          <controlPr defaultSize="0" autoLine="0" r:id="rId21">
            <anchor moveWithCells="1">
              <from>
                <xdr:col>0</xdr:col>
                <xdr:colOff>800100</xdr:colOff>
                <xdr:row>3</xdr:row>
                <xdr:rowOff>561975</xdr:rowOff>
              </from>
              <to>
                <xdr:col>0</xdr:col>
                <xdr:colOff>1323975</xdr:colOff>
                <xdr:row>4</xdr:row>
                <xdr:rowOff>0</xdr:rowOff>
              </to>
            </anchor>
          </controlPr>
        </control>
      </mc:Choice>
      <mc:Fallback>
        <control shapeId="2062" r:id="rId20" name="ucCmd_StopPlay"/>
      </mc:Fallback>
    </mc:AlternateContent>
    <mc:AlternateContent xmlns:mc="http://schemas.openxmlformats.org/markup-compatibility/2006">
      <mc:Choice Requires="x14">
        <control shapeId="2061" r:id="rId22" name="ucTextBox_Velocity">
          <controlPr defaultSize="0" autoLine="0" r:id="rId23">
            <anchor moveWithCells="1">
              <from>
                <xdr:col>0</xdr:col>
                <xdr:colOff>390525</xdr:colOff>
                <xdr:row>2</xdr:row>
                <xdr:rowOff>1219200</xdr:rowOff>
              </from>
              <to>
                <xdr:col>0</xdr:col>
                <xdr:colOff>933450</xdr:colOff>
                <xdr:row>3</xdr:row>
                <xdr:rowOff>28575</xdr:rowOff>
              </to>
            </anchor>
          </controlPr>
        </control>
      </mc:Choice>
      <mc:Fallback>
        <control shapeId="2061" r:id="rId22" name="ucTextBox_Velocity"/>
      </mc:Fallback>
    </mc:AlternateContent>
    <mc:AlternateContent xmlns:mc="http://schemas.openxmlformats.org/markup-compatibility/2006">
      <mc:Choice Requires="x14">
        <control shapeId="2060" r:id="rId24" name="ucComboBox_Channel">
          <controlPr defaultSize="0" autoLine="0" listFillRange="音色!$A$2:$A$17" r:id="rId25">
            <anchor moveWithCells="1">
              <from>
                <xdr:col>0</xdr:col>
                <xdr:colOff>400050</xdr:colOff>
                <xdr:row>2</xdr:row>
                <xdr:rowOff>819150</xdr:rowOff>
              </from>
              <to>
                <xdr:col>0</xdr:col>
                <xdr:colOff>1133475</xdr:colOff>
                <xdr:row>2</xdr:row>
                <xdr:rowOff>1066800</xdr:rowOff>
              </to>
            </anchor>
          </controlPr>
        </control>
      </mc:Choice>
      <mc:Fallback>
        <control shapeId="2060" r:id="rId24" name="ucComboBox_Channel"/>
      </mc:Fallback>
    </mc:AlternateContent>
    <mc:AlternateContent xmlns:mc="http://schemas.openxmlformats.org/markup-compatibility/2006">
      <mc:Choice Requires="x14">
        <control shapeId="2059" r:id="rId26" name="ucComboBox_Program">
          <controlPr defaultSize="0" autoLine="0" listFillRange="音色!$A$18:$E$25" r:id="rId27">
            <anchor moveWithCells="1">
              <from>
                <xdr:col>0</xdr:col>
                <xdr:colOff>9525</xdr:colOff>
                <xdr:row>2</xdr:row>
                <xdr:rowOff>438150</xdr:rowOff>
              </from>
              <to>
                <xdr:col>0</xdr:col>
                <xdr:colOff>1314450</xdr:colOff>
                <xdr:row>2</xdr:row>
                <xdr:rowOff>628650</xdr:rowOff>
              </to>
            </anchor>
          </controlPr>
        </control>
      </mc:Choice>
      <mc:Fallback>
        <control shapeId="2059" r:id="rId26" name="ucComboBox_Program"/>
      </mc:Fallback>
    </mc:AlternateContent>
    <mc:AlternateContent xmlns:mc="http://schemas.openxmlformats.org/markup-compatibility/2006">
      <mc:Choice Requires="x14">
        <control shapeId="2058" r:id="rId28" name="ucComboBox_ProgramType">
          <controlPr defaultSize="0" autoLine="0" listFillRange="音色!$H$2:$I$17" r:id="rId29">
            <anchor moveWithCells="1">
              <from>
                <xdr:col>0</xdr:col>
                <xdr:colOff>9525</xdr:colOff>
                <xdr:row>2</xdr:row>
                <xdr:rowOff>190500</xdr:rowOff>
              </from>
              <to>
                <xdr:col>0</xdr:col>
                <xdr:colOff>1314450</xdr:colOff>
                <xdr:row>2</xdr:row>
                <xdr:rowOff>438150</xdr:rowOff>
              </to>
            </anchor>
          </controlPr>
        </control>
      </mc:Choice>
      <mc:Fallback>
        <control shapeId="2058" r:id="rId28" name="ucComboBox_ProgramType"/>
      </mc:Fallback>
    </mc:AlternateContent>
    <mc:AlternateContent xmlns:mc="http://schemas.openxmlformats.org/markup-compatibility/2006">
      <mc:Choice Requires="x14">
        <control shapeId="2051" r:id="rId30" name="ucCmd_StartPlay">
          <controlPr defaultSize="0" autoLine="0" autoPict="0" r:id="rId31">
            <anchor moveWithCells="1">
              <from>
                <xdr:col>0</xdr:col>
                <xdr:colOff>9525</xdr:colOff>
                <xdr:row>3</xdr:row>
                <xdr:rowOff>561975</xdr:rowOff>
              </from>
              <to>
                <xdr:col>0</xdr:col>
                <xdr:colOff>771525</xdr:colOff>
                <xdr:row>4</xdr:row>
                <xdr:rowOff>0</xdr:rowOff>
              </to>
            </anchor>
          </controlPr>
        </control>
      </mc:Choice>
      <mc:Fallback>
        <control shapeId="2051" r:id="rId30" name="ucCmd_StartPlay"/>
      </mc:Fallback>
    </mc:AlternateContent>
    <mc:AlternateContent xmlns:mc="http://schemas.openxmlformats.org/markup-compatibility/2006">
      <mc:Choice Requires="x14">
        <control shapeId="2056" r:id="rId32" name="Opt_MuteLastNote">
          <controlPr defaultSize="0" autoLine="0" r:id="rId33">
            <anchor moveWithCells="1">
              <from>
                <xdr:col>0</xdr:col>
                <xdr:colOff>38100</xdr:colOff>
                <xdr:row>3</xdr:row>
                <xdr:rowOff>352425</xdr:rowOff>
              </from>
              <to>
                <xdr:col>0</xdr:col>
                <xdr:colOff>1314450</xdr:colOff>
                <xdr:row>3</xdr:row>
                <xdr:rowOff>561975</xdr:rowOff>
              </to>
            </anchor>
          </controlPr>
        </control>
      </mc:Choice>
      <mc:Fallback>
        <control shapeId="2056" r:id="rId32" name="Opt_MuteLastNote"/>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E131"/>
  <sheetViews>
    <sheetView workbookViewId="0">
      <pane ySplit="3" topLeftCell="A115" activePane="bottomLeft" state="frozen"/>
      <selection pane="bottomLeft" activeCell="J119" sqref="J119"/>
    </sheetView>
  </sheetViews>
  <sheetFormatPr defaultRowHeight="13.5"/>
  <cols>
    <col min="1" max="1" width="6.75" style="1" customWidth="1"/>
    <col min="2" max="2" width="12.375" style="1" customWidth="1"/>
    <col min="3" max="3" width="7.875" style="1" customWidth="1"/>
    <col min="4" max="4" width="10.875" style="1" customWidth="1"/>
    <col min="5" max="5" width="9.25" style="1" customWidth="1"/>
    <col min="6" max="16384" width="9" style="1"/>
  </cols>
  <sheetData>
    <row r="1" spans="1:5">
      <c r="A1" s="38" t="s">
        <v>0</v>
      </c>
      <c r="B1" s="38"/>
      <c r="C1" s="38"/>
      <c r="D1" s="38"/>
      <c r="E1" s="38"/>
    </row>
    <row r="3" spans="1:5">
      <c r="A3" s="3" t="s">
        <v>1</v>
      </c>
      <c r="B3" s="36" t="s">
        <v>2</v>
      </c>
      <c r="C3" s="37"/>
      <c r="D3" s="4" t="s">
        <v>3</v>
      </c>
      <c r="E3" s="4" t="s">
        <v>4</v>
      </c>
    </row>
    <row r="4" spans="1:5">
      <c r="A4" s="2" t="s">
        <v>65</v>
      </c>
      <c r="B4" s="2" t="s">
        <v>66</v>
      </c>
      <c r="C4" s="2" t="s">
        <v>67</v>
      </c>
      <c r="D4" s="2" t="s">
        <v>68</v>
      </c>
      <c r="E4" s="2" t="s">
        <v>5</v>
      </c>
    </row>
    <row r="5" spans="1:5">
      <c r="A5" s="2" t="s">
        <v>69</v>
      </c>
      <c r="B5" s="2" t="s">
        <v>70</v>
      </c>
      <c r="C5" s="2" t="s">
        <v>71</v>
      </c>
      <c r="D5" s="2" t="s">
        <v>68</v>
      </c>
      <c r="E5" s="2" t="s">
        <v>6</v>
      </c>
    </row>
    <row r="6" spans="1:5">
      <c r="A6" s="2" t="s">
        <v>72</v>
      </c>
      <c r="B6" s="2" t="s">
        <v>73</v>
      </c>
      <c r="C6" s="2" t="s">
        <v>74</v>
      </c>
      <c r="D6" s="2" t="s">
        <v>68</v>
      </c>
      <c r="E6" s="2" t="s">
        <v>7</v>
      </c>
    </row>
    <row r="7" spans="1:5">
      <c r="A7" s="2" t="s">
        <v>75</v>
      </c>
      <c r="B7" s="2" t="s">
        <v>76</v>
      </c>
      <c r="C7" s="2" t="s">
        <v>77</v>
      </c>
      <c r="D7" s="2" t="s">
        <v>68</v>
      </c>
      <c r="E7" s="2" t="s">
        <v>8</v>
      </c>
    </row>
    <row r="8" spans="1:5">
      <c r="A8" s="2" t="s">
        <v>78</v>
      </c>
      <c r="B8" s="2" t="s">
        <v>79</v>
      </c>
      <c r="C8" s="2" t="s">
        <v>80</v>
      </c>
      <c r="D8" s="2" t="s">
        <v>68</v>
      </c>
      <c r="E8" s="2" t="s">
        <v>9</v>
      </c>
    </row>
    <row r="9" spans="1:5">
      <c r="A9" s="2" t="s">
        <v>81</v>
      </c>
      <c r="B9" s="2" t="s">
        <v>82</v>
      </c>
      <c r="C9" s="2" t="s">
        <v>83</v>
      </c>
      <c r="D9" s="2" t="s">
        <v>68</v>
      </c>
      <c r="E9" s="2" t="s">
        <v>10</v>
      </c>
    </row>
    <row r="10" spans="1:5">
      <c r="A10" s="2" t="s">
        <v>84</v>
      </c>
      <c r="B10" s="2" t="s">
        <v>85</v>
      </c>
      <c r="C10" s="2" t="s">
        <v>86</v>
      </c>
      <c r="D10" s="2" t="s">
        <v>68</v>
      </c>
      <c r="E10" s="2" t="s">
        <v>11</v>
      </c>
    </row>
    <row r="11" spans="1:5">
      <c r="A11" s="2" t="s">
        <v>87</v>
      </c>
      <c r="B11" s="2" t="s">
        <v>88</v>
      </c>
      <c r="C11" s="2" t="s">
        <v>89</v>
      </c>
      <c r="D11" s="2" t="s">
        <v>68</v>
      </c>
      <c r="E11" s="2" t="s">
        <v>12</v>
      </c>
    </row>
    <row r="12" spans="1:5">
      <c r="A12" s="2" t="s">
        <v>90</v>
      </c>
      <c r="B12" s="2" t="s">
        <v>91</v>
      </c>
      <c r="C12" s="2" t="s">
        <v>92</v>
      </c>
      <c r="D12" s="2" t="s">
        <v>68</v>
      </c>
      <c r="E12" s="2" t="s">
        <v>13</v>
      </c>
    </row>
    <row r="13" spans="1:5">
      <c r="A13" s="2" t="s">
        <v>93</v>
      </c>
      <c r="B13" s="2" t="s">
        <v>94</v>
      </c>
      <c r="C13" s="2" t="s">
        <v>95</v>
      </c>
      <c r="D13" s="2" t="s">
        <v>68</v>
      </c>
      <c r="E13" s="2" t="s">
        <v>14</v>
      </c>
    </row>
    <row r="14" spans="1:5">
      <c r="A14" s="2" t="s">
        <v>96</v>
      </c>
      <c r="B14" s="2" t="s">
        <v>97</v>
      </c>
      <c r="C14" s="2" t="s">
        <v>15</v>
      </c>
      <c r="D14" s="2" t="s">
        <v>68</v>
      </c>
      <c r="E14" s="2" t="s">
        <v>16</v>
      </c>
    </row>
    <row r="15" spans="1:5">
      <c r="A15" s="2" t="s">
        <v>98</v>
      </c>
      <c r="B15" s="2" t="s">
        <v>99</v>
      </c>
      <c r="C15" s="2" t="s">
        <v>17</v>
      </c>
      <c r="D15" s="2" t="s">
        <v>68</v>
      </c>
      <c r="E15" s="2" t="s">
        <v>18</v>
      </c>
    </row>
    <row r="16" spans="1:5">
      <c r="A16" s="2" t="s">
        <v>100</v>
      </c>
      <c r="B16" s="2" t="s">
        <v>101</v>
      </c>
      <c r="C16" s="2" t="s">
        <v>19</v>
      </c>
      <c r="D16" s="2" t="s">
        <v>65</v>
      </c>
      <c r="E16" s="2" t="s">
        <v>5</v>
      </c>
    </row>
    <row r="17" spans="1:5">
      <c r="A17" s="2" t="s">
        <v>102</v>
      </c>
      <c r="B17" s="2" t="s">
        <v>103</v>
      </c>
      <c r="C17" s="2" t="s">
        <v>20</v>
      </c>
      <c r="D17" s="2" t="s">
        <v>65</v>
      </c>
      <c r="E17" s="2" t="s">
        <v>6</v>
      </c>
    </row>
    <row r="18" spans="1:5">
      <c r="A18" s="2" t="s">
        <v>104</v>
      </c>
      <c r="B18" s="2" t="s">
        <v>105</v>
      </c>
      <c r="C18" s="2" t="s">
        <v>21</v>
      </c>
      <c r="D18" s="2" t="s">
        <v>65</v>
      </c>
      <c r="E18" s="2" t="s">
        <v>7</v>
      </c>
    </row>
    <row r="19" spans="1:5">
      <c r="A19" s="2" t="s">
        <v>106</v>
      </c>
      <c r="B19" s="2" t="s">
        <v>107</v>
      </c>
      <c r="C19" s="2" t="s">
        <v>22</v>
      </c>
      <c r="D19" s="2" t="s">
        <v>65</v>
      </c>
      <c r="E19" s="2" t="s">
        <v>8</v>
      </c>
    </row>
    <row r="20" spans="1:5">
      <c r="A20" s="2" t="s">
        <v>108</v>
      </c>
      <c r="B20" s="2" t="s">
        <v>109</v>
      </c>
      <c r="C20" s="2" t="s">
        <v>96</v>
      </c>
      <c r="D20" s="2" t="s">
        <v>65</v>
      </c>
      <c r="E20" s="2" t="s">
        <v>9</v>
      </c>
    </row>
    <row r="21" spans="1:5">
      <c r="A21" s="2" t="s">
        <v>110</v>
      </c>
      <c r="B21" s="2" t="s">
        <v>111</v>
      </c>
      <c r="C21" s="2" t="s">
        <v>98</v>
      </c>
      <c r="D21" s="2" t="s">
        <v>65</v>
      </c>
      <c r="E21" s="2" t="s">
        <v>10</v>
      </c>
    </row>
    <row r="22" spans="1:5">
      <c r="A22" s="2" t="s">
        <v>112</v>
      </c>
      <c r="B22" s="2" t="s">
        <v>113</v>
      </c>
      <c r="C22" s="2" t="s">
        <v>100</v>
      </c>
      <c r="D22" s="2" t="s">
        <v>65</v>
      </c>
      <c r="E22" s="2" t="s">
        <v>11</v>
      </c>
    </row>
    <row r="23" spans="1:5">
      <c r="A23" s="2" t="s">
        <v>114</v>
      </c>
      <c r="B23" s="2" t="s">
        <v>115</v>
      </c>
      <c r="C23" s="2" t="s">
        <v>102</v>
      </c>
      <c r="D23" s="2" t="s">
        <v>65</v>
      </c>
      <c r="E23" s="2" t="s">
        <v>12</v>
      </c>
    </row>
    <row r="24" spans="1:5">
      <c r="A24" s="2" t="s">
        <v>116</v>
      </c>
      <c r="B24" s="2" t="s">
        <v>117</v>
      </c>
      <c r="C24" s="2" t="s">
        <v>104</v>
      </c>
      <c r="D24" s="2" t="s">
        <v>65</v>
      </c>
      <c r="E24" s="2" t="s">
        <v>13</v>
      </c>
    </row>
    <row r="25" spans="1:5">
      <c r="A25" s="2" t="s">
        <v>118</v>
      </c>
      <c r="B25" s="2" t="s">
        <v>119</v>
      </c>
      <c r="C25" s="2" t="s">
        <v>106</v>
      </c>
      <c r="D25" s="2" t="s">
        <v>65</v>
      </c>
      <c r="E25" s="2" t="s">
        <v>14</v>
      </c>
    </row>
    <row r="26" spans="1:5">
      <c r="A26" s="2" t="s">
        <v>120</v>
      </c>
      <c r="B26" s="2" t="s">
        <v>121</v>
      </c>
      <c r="C26" s="2" t="s">
        <v>108</v>
      </c>
      <c r="D26" s="2" t="s">
        <v>65</v>
      </c>
      <c r="E26" s="2" t="s">
        <v>16</v>
      </c>
    </row>
    <row r="27" spans="1:5">
      <c r="A27" s="2" t="s">
        <v>122</v>
      </c>
      <c r="B27" s="2" t="s">
        <v>123</v>
      </c>
      <c r="C27" s="2" t="s">
        <v>110</v>
      </c>
      <c r="D27" s="2" t="s">
        <v>65</v>
      </c>
      <c r="E27" s="2" t="s">
        <v>18</v>
      </c>
    </row>
    <row r="28" spans="1:5">
      <c r="A28" s="2" t="s">
        <v>124</v>
      </c>
      <c r="B28" s="2" t="s">
        <v>125</v>
      </c>
      <c r="C28" s="2" t="s">
        <v>112</v>
      </c>
      <c r="D28" s="2" t="s">
        <v>69</v>
      </c>
      <c r="E28" s="2" t="s">
        <v>5</v>
      </c>
    </row>
    <row r="29" spans="1:5">
      <c r="A29" s="2" t="s">
        <v>126</v>
      </c>
      <c r="B29" s="2" t="s">
        <v>127</v>
      </c>
      <c r="C29" s="2" t="s">
        <v>114</v>
      </c>
      <c r="D29" s="2" t="s">
        <v>69</v>
      </c>
      <c r="E29" s="2" t="s">
        <v>6</v>
      </c>
    </row>
    <row r="30" spans="1:5">
      <c r="A30" s="2" t="s">
        <v>128</v>
      </c>
      <c r="B30" s="2" t="s">
        <v>129</v>
      </c>
      <c r="C30" s="2" t="s">
        <v>23</v>
      </c>
      <c r="D30" s="2" t="s">
        <v>69</v>
      </c>
      <c r="E30" s="2" t="s">
        <v>7</v>
      </c>
    </row>
    <row r="31" spans="1:5">
      <c r="A31" s="2" t="s">
        <v>130</v>
      </c>
      <c r="B31" s="2" t="s">
        <v>131</v>
      </c>
      <c r="C31" s="2" t="s">
        <v>24</v>
      </c>
      <c r="D31" s="2" t="s">
        <v>69</v>
      </c>
      <c r="E31" s="2" t="s">
        <v>8</v>
      </c>
    </row>
    <row r="32" spans="1:5">
      <c r="A32" s="2" t="s">
        <v>132</v>
      </c>
      <c r="B32" s="2" t="s">
        <v>133</v>
      </c>
      <c r="C32" s="2" t="s">
        <v>25</v>
      </c>
      <c r="D32" s="2" t="s">
        <v>69</v>
      </c>
      <c r="E32" s="2" t="s">
        <v>9</v>
      </c>
    </row>
    <row r="33" spans="1:5">
      <c r="A33" s="2" t="s">
        <v>134</v>
      </c>
      <c r="B33" s="2" t="s">
        <v>135</v>
      </c>
      <c r="C33" s="2" t="s">
        <v>26</v>
      </c>
      <c r="D33" s="2" t="s">
        <v>69</v>
      </c>
      <c r="E33" s="2" t="s">
        <v>10</v>
      </c>
    </row>
    <row r="34" spans="1:5">
      <c r="A34" s="2" t="s">
        <v>136</v>
      </c>
      <c r="B34" s="2" t="s">
        <v>137</v>
      </c>
      <c r="C34" s="2" t="s">
        <v>27</v>
      </c>
      <c r="D34" s="2" t="s">
        <v>69</v>
      </c>
      <c r="E34" s="2" t="s">
        <v>11</v>
      </c>
    </row>
    <row r="35" spans="1:5">
      <c r="A35" s="2" t="s">
        <v>138</v>
      </c>
      <c r="B35" s="2" t="s">
        <v>139</v>
      </c>
      <c r="C35" s="2" t="s">
        <v>28</v>
      </c>
      <c r="D35" s="2" t="s">
        <v>69</v>
      </c>
      <c r="E35" s="2" t="s">
        <v>12</v>
      </c>
    </row>
    <row r="36" spans="1:5">
      <c r="A36" s="2" t="s">
        <v>140</v>
      </c>
      <c r="B36" s="2" t="s">
        <v>141</v>
      </c>
      <c r="C36" s="2" t="s">
        <v>116</v>
      </c>
      <c r="D36" s="2" t="s">
        <v>69</v>
      </c>
      <c r="E36" s="2" t="s">
        <v>13</v>
      </c>
    </row>
    <row r="37" spans="1:5">
      <c r="A37" s="2" t="s">
        <v>142</v>
      </c>
      <c r="B37" s="2" t="s">
        <v>143</v>
      </c>
      <c r="C37" s="2" t="s">
        <v>118</v>
      </c>
      <c r="D37" s="2" t="s">
        <v>69</v>
      </c>
      <c r="E37" s="2" t="s">
        <v>14</v>
      </c>
    </row>
    <row r="38" spans="1:5">
      <c r="A38" s="2" t="s">
        <v>144</v>
      </c>
      <c r="B38" s="2" t="s">
        <v>145</v>
      </c>
      <c r="C38" s="2" t="s">
        <v>120</v>
      </c>
      <c r="D38" s="2" t="s">
        <v>69</v>
      </c>
      <c r="E38" s="2" t="s">
        <v>16</v>
      </c>
    </row>
    <row r="39" spans="1:5">
      <c r="A39" s="2" t="s">
        <v>146</v>
      </c>
      <c r="B39" s="2" t="s">
        <v>147</v>
      </c>
      <c r="C39" s="2" t="s">
        <v>122</v>
      </c>
      <c r="D39" s="2" t="s">
        <v>69</v>
      </c>
      <c r="E39" s="2" t="s">
        <v>18</v>
      </c>
    </row>
    <row r="40" spans="1:5">
      <c r="A40" s="2" t="s">
        <v>148</v>
      </c>
      <c r="B40" s="2" t="s">
        <v>149</v>
      </c>
      <c r="C40" s="2" t="s">
        <v>124</v>
      </c>
      <c r="D40" s="2" t="s">
        <v>72</v>
      </c>
      <c r="E40" s="2" t="s">
        <v>5</v>
      </c>
    </row>
    <row r="41" spans="1:5">
      <c r="A41" s="2" t="s">
        <v>150</v>
      </c>
      <c r="B41" s="2" t="s">
        <v>151</v>
      </c>
      <c r="C41" s="2" t="s">
        <v>126</v>
      </c>
      <c r="D41" s="2" t="s">
        <v>72</v>
      </c>
      <c r="E41" s="2" t="s">
        <v>6</v>
      </c>
    </row>
    <row r="42" spans="1:5">
      <c r="A42" s="2" t="s">
        <v>152</v>
      </c>
      <c r="B42" s="2" t="s">
        <v>153</v>
      </c>
      <c r="C42" s="2" t="s">
        <v>128</v>
      </c>
      <c r="D42" s="2" t="s">
        <v>72</v>
      </c>
      <c r="E42" s="2" t="s">
        <v>7</v>
      </c>
    </row>
    <row r="43" spans="1:5">
      <c r="A43" s="2" t="s">
        <v>154</v>
      </c>
      <c r="B43" s="2" t="s">
        <v>155</v>
      </c>
      <c r="C43" s="2" t="s">
        <v>130</v>
      </c>
      <c r="D43" s="2" t="s">
        <v>72</v>
      </c>
      <c r="E43" s="2" t="s">
        <v>8</v>
      </c>
    </row>
    <row r="44" spans="1:5">
      <c r="A44" s="2" t="s">
        <v>156</v>
      </c>
      <c r="B44" s="2" t="s">
        <v>157</v>
      </c>
      <c r="C44" s="2" t="s">
        <v>132</v>
      </c>
      <c r="D44" s="2" t="s">
        <v>72</v>
      </c>
      <c r="E44" s="2" t="s">
        <v>9</v>
      </c>
    </row>
    <row r="45" spans="1:5">
      <c r="A45" s="2" t="s">
        <v>158</v>
      </c>
      <c r="B45" s="2" t="s">
        <v>159</v>
      </c>
      <c r="C45" s="2" t="s">
        <v>134</v>
      </c>
      <c r="D45" s="2" t="s">
        <v>72</v>
      </c>
      <c r="E45" s="2" t="s">
        <v>10</v>
      </c>
    </row>
    <row r="46" spans="1:5">
      <c r="A46" s="2" t="s">
        <v>160</v>
      </c>
      <c r="B46" s="2" t="s">
        <v>161</v>
      </c>
      <c r="C46" s="2" t="s">
        <v>29</v>
      </c>
      <c r="D46" s="2" t="s">
        <v>72</v>
      </c>
      <c r="E46" s="2" t="s">
        <v>11</v>
      </c>
    </row>
    <row r="47" spans="1:5">
      <c r="A47" s="2" t="s">
        <v>162</v>
      </c>
      <c r="B47" s="2" t="s">
        <v>163</v>
      </c>
      <c r="C47" s="2" t="s">
        <v>30</v>
      </c>
      <c r="D47" s="2" t="s">
        <v>72</v>
      </c>
      <c r="E47" s="2" t="s">
        <v>12</v>
      </c>
    </row>
    <row r="48" spans="1:5">
      <c r="A48" s="2" t="s">
        <v>164</v>
      </c>
      <c r="B48" s="2" t="s">
        <v>165</v>
      </c>
      <c r="C48" s="2" t="s">
        <v>31</v>
      </c>
      <c r="D48" s="2" t="s">
        <v>72</v>
      </c>
      <c r="E48" s="2" t="s">
        <v>13</v>
      </c>
    </row>
    <row r="49" spans="1:5">
      <c r="A49" s="2" t="s">
        <v>166</v>
      </c>
      <c r="B49" s="2" t="s">
        <v>167</v>
      </c>
      <c r="C49" s="2" t="s">
        <v>32</v>
      </c>
      <c r="D49" s="2" t="s">
        <v>72</v>
      </c>
      <c r="E49" s="2" t="s">
        <v>14</v>
      </c>
    </row>
    <row r="50" spans="1:5">
      <c r="A50" s="2" t="s">
        <v>168</v>
      </c>
      <c r="B50" s="2" t="s">
        <v>169</v>
      </c>
      <c r="C50" s="2" t="s">
        <v>33</v>
      </c>
      <c r="D50" s="2" t="s">
        <v>72</v>
      </c>
      <c r="E50" s="2" t="s">
        <v>16</v>
      </c>
    </row>
    <row r="51" spans="1:5">
      <c r="A51" s="2" t="s">
        <v>170</v>
      </c>
      <c r="B51" s="2" t="s">
        <v>171</v>
      </c>
      <c r="C51" s="2" t="s">
        <v>34</v>
      </c>
      <c r="D51" s="2" t="s">
        <v>72</v>
      </c>
      <c r="E51" s="2" t="s">
        <v>18</v>
      </c>
    </row>
    <row r="52" spans="1:5">
      <c r="A52" s="2" t="s">
        <v>172</v>
      </c>
      <c r="B52" s="2" t="s">
        <v>173</v>
      </c>
      <c r="C52" s="2" t="s">
        <v>136</v>
      </c>
      <c r="D52" s="2" t="s">
        <v>75</v>
      </c>
      <c r="E52" s="2" t="s">
        <v>5</v>
      </c>
    </row>
    <row r="53" spans="1:5">
      <c r="A53" s="2" t="s">
        <v>174</v>
      </c>
      <c r="B53" s="2" t="s">
        <v>175</v>
      </c>
      <c r="C53" s="2" t="s">
        <v>138</v>
      </c>
      <c r="D53" s="2" t="s">
        <v>75</v>
      </c>
      <c r="E53" s="2" t="s">
        <v>6</v>
      </c>
    </row>
    <row r="54" spans="1:5">
      <c r="A54" s="2" t="s">
        <v>176</v>
      </c>
      <c r="B54" s="2" t="s">
        <v>177</v>
      </c>
      <c r="C54" s="2" t="s">
        <v>140</v>
      </c>
      <c r="D54" s="2" t="s">
        <v>75</v>
      </c>
      <c r="E54" s="2" t="s">
        <v>7</v>
      </c>
    </row>
    <row r="55" spans="1:5">
      <c r="A55" s="2" t="s">
        <v>178</v>
      </c>
      <c r="B55" s="2" t="s">
        <v>179</v>
      </c>
      <c r="C55" s="2" t="s">
        <v>142</v>
      </c>
      <c r="D55" s="2" t="s">
        <v>75</v>
      </c>
      <c r="E55" s="2" t="s">
        <v>8</v>
      </c>
    </row>
    <row r="56" spans="1:5">
      <c r="A56" s="2" t="s">
        <v>180</v>
      </c>
      <c r="B56" s="2" t="s">
        <v>181</v>
      </c>
      <c r="C56" s="2" t="s">
        <v>144</v>
      </c>
      <c r="D56" s="2" t="s">
        <v>75</v>
      </c>
      <c r="E56" s="2" t="s">
        <v>9</v>
      </c>
    </row>
    <row r="57" spans="1:5">
      <c r="A57" s="2" t="s">
        <v>182</v>
      </c>
      <c r="B57" s="2" t="s">
        <v>183</v>
      </c>
      <c r="C57" s="2" t="s">
        <v>146</v>
      </c>
      <c r="D57" s="2" t="s">
        <v>75</v>
      </c>
      <c r="E57" s="2" t="s">
        <v>10</v>
      </c>
    </row>
    <row r="58" spans="1:5">
      <c r="A58" s="2" t="s">
        <v>184</v>
      </c>
      <c r="B58" s="2" t="s">
        <v>185</v>
      </c>
      <c r="C58" s="2" t="s">
        <v>148</v>
      </c>
      <c r="D58" s="2" t="s">
        <v>75</v>
      </c>
      <c r="E58" s="2" t="s">
        <v>11</v>
      </c>
    </row>
    <row r="59" spans="1:5">
      <c r="A59" s="2" t="s">
        <v>186</v>
      </c>
      <c r="B59" s="2" t="s">
        <v>187</v>
      </c>
      <c r="C59" s="2" t="s">
        <v>150</v>
      </c>
      <c r="D59" s="2" t="s">
        <v>75</v>
      </c>
      <c r="E59" s="2" t="s">
        <v>12</v>
      </c>
    </row>
    <row r="60" spans="1:5">
      <c r="A60" s="2" t="s">
        <v>188</v>
      </c>
      <c r="B60" s="2" t="s">
        <v>189</v>
      </c>
      <c r="C60" s="2" t="s">
        <v>152</v>
      </c>
      <c r="D60" s="2" t="s">
        <v>75</v>
      </c>
      <c r="E60" s="2" t="s">
        <v>13</v>
      </c>
    </row>
    <row r="61" spans="1:5">
      <c r="A61" s="2" t="s">
        <v>190</v>
      </c>
      <c r="B61" s="2" t="s">
        <v>191</v>
      </c>
      <c r="C61" s="2" t="s">
        <v>154</v>
      </c>
      <c r="D61" s="2" t="s">
        <v>75</v>
      </c>
      <c r="E61" s="2" t="s">
        <v>14</v>
      </c>
    </row>
    <row r="62" spans="1:5">
      <c r="A62" s="2" t="s">
        <v>192</v>
      </c>
      <c r="B62" s="2" t="s">
        <v>193</v>
      </c>
      <c r="C62" s="2" t="s">
        <v>35</v>
      </c>
      <c r="D62" s="2" t="s">
        <v>75</v>
      </c>
      <c r="E62" s="2" t="s">
        <v>16</v>
      </c>
    </row>
    <row r="63" spans="1:5">
      <c r="A63" s="2" t="s">
        <v>194</v>
      </c>
      <c r="B63" s="2" t="s">
        <v>195</v>
      </c>
      <c r="C63" s="2" t="s">
        <v>36</v>
      </c>
      <c r="D63" s="2" t="s">
        <v>75</v>
      </c>
      <c r="E63" s="2" t="s">
        <v>18</v>
      </c>
    </row>
    <row r="64" spans="1:5">
      <c r="A64" s="2" t="s">
        <v>196</v>
      </c>
      <c r="B64" s="2" t="s">
        <v>197</v>
      </c>
      <c r="C64" s="2" t="s">
        <v>37</v>
      </c>
      <c r="D64" s="2" t="s">
        <v>78</v>
      </c>
      <c r="E64" s="2" t="s">
        <v>5</v>
      </c>
    </row>
    <row r="65" spans="1:5">
      <c r="A65" s="2" t="s">
        <v>198</v>
      </c>
      <c r="B65" s="2" t="s">
        <v>199</v>
      </c>
      <c r="C65" s="2" t="s">
        <v>38</v>
      </c>
      <c r="D65" s="2" t="s">
        <v>78</v>
      </c>
      <c r="E65" s="2" t="s">
        <v>6</v>
      </c>
    </row>
    <row r="66" spans="1:5">
      <c r="A66" s="2" t="s">
        <v>200</v>
      </c>
      <c r="B66" s="2" t="s">
        <v>201</v>
      </c>
      <c r="C66" s="2" t="s">
        <v>39</v>
      </c>
      <c r="D66" s="2" t="s">
        <v>78</v>
      </c>
      <c r="E66" s="2" t="s">
        <v>7</v>
      </c>
    </row>
    <row r="67" spans="1:5">
      <c r="A67" s="2" t="s">
        <v>202</v>
      </c>
      <c r="B67" s="2" t="s">
        <v>203</v>
      </c>
      <c r="C67" s="2" t="s">
        <v>40</v>
      </c>
      <c r="D67" s="2" t="s">
        <v>78</v>
      </c>
      <c r="E67" s="2" t="s">
        <v>8</v>
      </c>
    </row>
    <row r="68" spans="1:5">
      <c r="A68" s="2" t="s">
        <v>204</v>
      </c>
      <c r="B68" s="2" t="s">
        <v>205</v>
      </c>
      <c r="C68" s="2" t="s">
        <v>156</v>
      </c>
      <c r="D68" s="2" t="s">
        <v>78</v>
      </c>
      <c r="E68" s="2" t="s">
        <v>9</v>
      </c>
    </row>
    <row r="69" spans="1:5">
      <c r="A69" s="2" t="s">
        <v>206</v>
      </c>
      <c r="B69" s="2" t="s">
        <v>207</v>
      </c>
      <c r="C69" s="2" t="s">
        <v>158</v>
      </c>
      <c r="D69" s="2" t="s">
        <v>78</v>
      </c>
      <c r="E69" s="2" t="s">
        <v>10</v>
      </c>
    </row>
    <row r="70" spans="1:5">
      <c r="A70" s="2" t="s">
        <v>208</v>
      </c>
      <c r="B70" s="2" t="s">
        <v>209</v>
      </c>
      <c r="C70" s="2" t="s">
        <v>160</v>
      </c>
      <c r="D70" s="2" t="s">
        <v>78</v>
      </c>
      <c r="E70" s="2" t="s">
        <v>11</v>
      </c>
    </row>
    <row r="71" spans="1:5">
      <c r="A71" s="2" t="s">
        <v>210</v>
      </c>
      <c r="B71" s="2" t="s">
        <v>211</v>
      </c>
      <c r="C71" s="2" t="s">
        <v>162</v>
      </c>
      <c r="D71" s="2" t="s">
        <v>78</v>
      </c>
      <c r="E71" s="2" t="s">
        <v>12</v>
      </c>
    </row>
    <row r="72" spans="1:5">
      <c r="A72" s="2" t="s">
        <v>212</v>
      </c>
      <c r="B72" s="2" t="s">
        <v>213</v>
      </c>
      <c r="C72" s="2" t="s">
        <v>164</v>
      </c>
      <c r="D72" s="2" t="s">
        <v>78</v>
      </c>
      <c r="E72" s="2" t="s">
        <v>13</v>
      </c>
    </row>
    <row r="73" spans="1:5">
      <c r="A73" s="2" t="s">
        <v>214</v>
      </c>
      <c r="B73" s="2" t="s">
        <v>215</v>
      </c>
      <c r="C73" s="2" t="s">
        <v>166</v>
      </c>
      <c r="D73" s="2" t="s">
        <v>78</v>
      </c>
      <c r="E73" s="2" t="s">
        <v>14</v>
      </c>
    </row>
    <row r="74" spans="1:5">
      <c r="A74" s="2" t="s">
        <v>216</v>
      </c>
      <c r="B74" s="2" t="s">
        <v>217</v>
      </c>
      <c r="C74" s="2" t="s">
        <v>168</v>
      </c>
      <c r="D74" s="2" t="s">
        <v>78</v>
      </c>
      <c r="E74" s="2" t="s">
        <v>16</v>
      </c>
    </row>
    <row r="75" spans="1:5">
      <c r="A75" s="2" t="s">
        <v>218</v>
      </c>
      <c r="B75" s="2" t="s">
        <v>219</v>
      </c>
      <c r="C75" s="2" t="s">
        <v>170</v>
      </c>
      <c r="D75" s="2" t="s">
        <v>78</v>
      </c>
      <c r="E75" s="2" t="s">
        <v>18</v>
      </c>
    </row>
    <row r="76" spans="1:5">
      <c r="A76" s="2" t="s">
        <v>220</v>
      </c>
      <c r="B76" s="2" t="s">
        <v>221</v>
      </c>
      <c r="C76" s="2" t="s">
        <v>172</v>
      </c>
      <c r="D76" s="2" t="s">
        <v>81</v>
      </c>
      <c r="E76" s="2" t="s">
        <v>5</v>
      </c>
    </row>
    <row r="77" spans="1:5">
      <c r="A77" s="2" t="s">
        <v>222</v>
      </c>
      <c r="B77" s="2" t="s">
        <v>223</v>
      </c>
      <c r="C77" s="2" t="s">
        <v>174</v>
      </c>
      <c r="D77" s="2" t="s">
        <v>81</v>
      </c>
      <c r="E77" s="2" t="s">
        <v>6</v>
      </c>
    </row>
    <row r="78" spans="1:5">
      <c r="A78" s="2" t="s">
        <v>224</v>
      </c>
      <c r="B78" s="2" t="s">
        <v>225</v>
      </c>
      <c r="C78" s="2" t="s">
        <v>41</v>
      </c>
      <c r="D78" s="2" t="s">
        <v>81</v>
      </c>
      <c r="E78" s="2" t="s">
        <v>7</v>
      </c>
    </row>
    <row r="79" spans="1:5">
      <c r="A79" s="2" t="s">
        <v>226</v>
      </c>
      <c r="B79" s="2" t="s">
        <v>227</v>
      </c>
      <c r="C79" s="2" t="s">
        <v>42</v>
      </c>
      <c r="D79" s="2" t="s">
        <v>81</v>
      </c>
      <c r="E79" s="2" t="s">
        <v>8</v>
      </c>
    </row>
    <row r="80" spans="1:5">
      <c r="A80" s="2" t="s">
        <v>228</v>
      </c>
      <c r="B80" s="2" t="s">
        <v>229</v>
      </c>
      <c r="C80" s="2" t="s">
        <v>43</v>
      </c>
      <c r="D80" s="2" t="s">
        <v>81</v>
      </c>
      <c r="E80" s="2" t="s">
        <v>9</v>
      </c>
    </row>
    <row r="81" spans="1:5">
      <c r="A81" s="2" t="s">
        <v>230</v>
      </c>
      <c r="B81" s="2" t="s">
        <v>231</v>
      </c>
      <c r="C81" s="2" t="s">
        <v>44</v>
      </c>
      <c r="D81" s="2" t="s">
        <v>81</v>
      </c>
      <c r="E81" s="2" t="s">
        <v>10</v>
      </c>
    </row>
    <row r="82" spans="1:5">
      <c r="A82" s="2" t="s">
        <v>232</v>
      </c>
      <c r="B82" s="2" t="s">
        <v>233</v>
      </c>
      <c r="C82" s="2" t="s">
        <v>45</v>
      </c>
      <c r="D82" s="2" t="s">
        <v>81</v>
      </c>
      <c r="E82" s="2" t="s">
        <v>11</v>
      </c>
    </row>
    <row r="83" spans="1:5">
      <c r="A83" s="2" t="s">
        <v>234</v>
      </c>
      <c r="B83" s="2" t="s">
        <v>235</v>
      </c>
      <c r="C83" s="2" t="s">
        <v>46</v>
      </c>
      <c r="D83" s="2" t="s">
        <v>81</v>
      </c>
      <c r="E83" s="2" t="s">
        <v>12</v>
      </c>
    </row>
    <row r="84" spans="1:5">
      <c r="A84" s="2" t="s">
        <v>236</v>
      </c>
      <c r="B84" s="2" t="s">
        <v>237</v>
      </c>
      <c r="C84" s="2" t="s">
        <v>176</v>
      </c>
      <c r="D84" s="2" t="s">
        <v>81</v>
      </c>
      <c r="E84" s="2" t="s">
        <v>13</v>
      </c>
    </row>
    <row r="85" spans="1:5">
      <c r="A85" s="2" t="s">
        <v>238</v>
      </c>
      <c r="B85" s="2" t="s">
        <v>239</v>
      </c>
      <c r="C85" s="2" t="s">
        <v>178</v>
      </c>
      <c r="D85" s="2" t="s">
        <v>81</v>
      </c>
      <c r="E85" s="2" t="s">
        <v>14</v>
      </c>
    </row>
    <row r="86" spans="1:5">
      <c r="A86" s="2" t="s">
        <v>240</v>
      </c>
      <c r="B86" s="2" t="s">
        <v>241</v>
      </c>
      <c r="C86" s="2" t="s">
        <v>180</v>
      </c>
      <c r="D86" s="2" t="s">
        <v>81</v>
      </c>
      <c r="E86" s="2" t="s">
        <v>16</v>
      </c>
    </row>
    <row r="87" spans="1:5">
      <c r="A87" s="2" t="s">
        <v>242</v>
      </c>
      <c r="B87" s="2" t="s">
        <v>243</v>
      </c>
      <c r="C87" s="2" t="s">
        <v>182</v>
      </c>
      <c r="D87" s="2" t="s">
        <v>81</v>
      </c>
      <c r="E87" s="2" t="s">
        <v>18</v>
      </c>
    </row>
    <row r="88" spans="1:5">
      <c r="A88" s="2" t="s">
        <v>244</v>
      </c>
      <c r="B88" s="2" t="s">
        <v>245</v>
      </c>
      <c r="C88" s="2" t="s">
        <v>184</v>
      </c>
      <c r="D88" s="2" t="s">
        <v>84</v>
      </c>
      <c r="E88" s="2" t="s">
        <v>5</v>
      </c>
    </row>
    <row r="89" spans="1:5">
      <c r="A89" s="2" t="s">
        <v>246</v>
      </c>
      <c r="B89" s="2" t="s">
        <v>247</v>
      </c>
      <c r="C89" s="2" t="s">
        <v>186</v>
      </c>
      <c r="D89" s="2" t="s">
        <v>84</v>
      </c>
      <c r="E89" s="2" t="s">
        <v>6</v>
      </c>
    </row>
    <row r="90" spans="1:5">
      <c r="A90" s="2" t="s">
        <v>248</v>
      </c>
      <c r="B90" s="2" t="s">
        <v>249</v>
      </c>
      <c r="C90" s="2" t="s">
        <v>188</v>
      </c>
      <c r="D90" s="2" t="s">
        <v>84</v>
      </c>
      <c r="E90" s="2" t="s">
        <v>7</v>
      </c>
    </row>
    <row r="91" spans="1:5">
      <c r="A91" s="2" t="s">
        <v>250</v>
      </c>
      <c r="B91" s="2" t="s">
        <v>251</v>
      </c>
      <c r="C91" s="2" t="s">
        <v>190</v>
      </c>
      <c r="D91" s="2" t="s">
        <v>84</v>
      </c>
      <c r="E91" s="2" t="s">
        <v>8</v>
      </c>
    </row>
    <row r="92" spans="1:5">
      <c r="A92" s="2" t="s">
        <v>252</v>
      </c>
      <c r="B92" s="2" t="s">
        <v>253</v>
      </c>
      <c r="C92" s="2" t="s">
        <v>192</v>
      </c>
      <c r="D92" s="2" t="s">
        <v>84</v>
      </c>
      <c r="E92" s="2" t="s">
        <v>9</v>
      </c>
    </row>
    <row r="93" spans="1:5">
      <c r="A93" s="2" t="s">
        <v>254</v>
      </c>
      <c r="B93" s="2" t="s">
        <v>255</v>
      </c>
      <c r="C93" s="2" t="s">
        <v>194</v>
      </c>
      <c r="D93" s="2" t="s">
        <v>84</v>
      </c>
      <c r="E93" s="2" t="s">
        <v>10</v>
      </c>
    </row>
    <row r="94" spans="1:5">
      <c r="A94" s="2" t="s">
        <v>256</v>
      </c>
      <c r="B94" s="2" t="s">
        <v>257</v>
      </c>
      <c r="C94" s="2" t="s">
        <v>47</v>
      </c>
      <c r="D94" s="2" t="s">
        <v>84</v>
      </c>
      <c r="E94" s="2" t="s">
        <v>11</v>
      </c>
    </row>
    <row r="95" spans="1:5">
      <c r="A95" s="2" t="s">
        <v>258</v>
      </c>
      <c r="B95" s="2" t="s">
        <v>259</v>
      </c>
      <c r="C95" s="2" t="s">
        <v>48</v>
      </c>
      <c r="D95" s="2" t="s">
        <v>84</v>
      </c>
      <c r="E95" s="2" t="s">
        <v>12</v>
      </c>
    </row>
    <row r="96" spans="1:5">
      <c r="A96" s="2" t="s">
        <v>260</v>
      </c>
      <c r="B96" s="2" t="s">
        <v>261</v>
      </c>
      <c r="C96" s="2" t="s">
        <v>49</v>
      </c>
      <c r="D96" s="2" t="s">
        <v>84</v>
      </c>
      <c r="E96" s="2" t="s">
        <v>13</v>
      </c>
    </row>
    <row r="97" spans="1:5">
      <c r="A97" s="2" t="s">
        <v>262</v>
      </c>
      <c r="B97" s="2" t="s">
        <v>263</v>
      </c>
      <c r="C97" s="2" t="s">
        <v>50</v>
      </c>
      <c r="D97" s="2" t="s">
        <v>84</v>
      </c>
      <c r="E97" s="2" t="s">
        <v>14</v>
      </c>
    </row>
    <row r="98" spans="1:5">
      <c r="A98" s="2" t="s">
        <v>264</v>
      </c>
      <c r="B98" s="2" t="s">
        <v>265</v>
      </c>
      <c r="C98" s="2" t="s">
        <v>51</v>
      </c>
      <c r="D98" s="2" t="s">
        <v>84</v>
      </c>
      <c r="E98" s="2" t="s">
        <v>16</v>
      </c>
    </row>
    <row r="99" spans="1:5">
      <c r="A99" s="2" t="s">
        <v>266</v>
      </c>
      <c r="B99" s="2" t="s">
        <v>267</v>
      </c>
      <c r="C99" s="2" t="s">
        <v>52</v>
      </c>
      <c r="D99" s="2" t="s">
        <v>84</v>
      </c>
      <c r="E99" s="2" t="s">
        <v>18</v>
      </c>
    </row>
    <row r="100" spans="1:5">
      <c r="A100" s="2" t="s">
        <v>268</v>
      </c>
      <c r="B100" s="2" t="s">
        <v>269</v>
      </c>
      <c r="C100" s="2" t="s">
        <v>196</v>
      </c>
      <c r="D100" s="2" t="s">
        <v>87</v>
      </c>
      <c r="E100" s="2" t="s">
        <v>5</v>
      </c>
    </row>
    <row r="101" spans="1:5">
      <c r="A101" s="2" t="s">
        <v>270</v>
      </c>
      <c r="B101" s="2" t="s">
        <v>271</v>
      </c>
      <c r="C101" s="2" t="s">
        <v>198</v>
      </c>
      <c r="D101" s="2" t="s">
        <v>87</v>
      </c>
      <c r="E101" s="2" t="s">
        <v>6</v>
      </c>
    </row>
    <row r="102" spans="1:5">
      <c r="A102" s="2" t="s">
        <v>272</v>
      </c>
      <c r="B102" s="2" t="s">
        <v>273</v>
      </c>
      <c r="C102" s="2" t="s">
        <v>200</v>
      </c>
      <c r="D102" s="2" t="s">
        <v>87</v>
      </c>
      <c r="E102" s="2" t="s">
        <v>7</v>
      </c>
    </row>
    <row r="103" spans="1:5">
      <c r="A103" s="2" t="s">
        <v>274</v>
      </c>
      <c r="B103" s="2" t="s">
        <v>275</v>
      </c>
      <c r="C103" s="2" t="s">
        <v>202</v>
      </c>
      <c r="D103" s="2" t="s">
        <v>87</v>
      </c>
      <c r="E103" s="2" t="s">
        <v>8</v>
      </c>
    </row>
    <row r="104" spans="1:5">
      <c r="A104" s="2" t="s">
        <v>276</v>
      </c>
      <c r="B104" s="2" t="s">
        <v>277</v>
      </c>
      <c r="C104" s="2" t="s">
        <v>204</v>
      </c>
      <c r="D104" s="2" t="s">
        <v>87</v>
      </c>
      <c r="E104" s="2" t="s">
        <v>9</v>
      </c>
    </row>
    <row r="105" spans="1:5">
      <c r="A105" s="2" t="s">
        <v>278</v>
      </c>
      <c r="B105" s="2" t="s">
        <v>279</v>
      </c>
      <c r="C105" s="2" t="s">
        <v>206</v>
      </c>
      <c r="D105" s="2" t="s">
        <v>87</v>
      </c>
      <c r="E105" s="2" t="s">
        <v>10</v>
      </c>
    </row>
    <row r="106" spans="1:5">
      <c r="A106" s="2" t="s">
        <v>280</v>
      </c>
      <c r="B106" s="2" t="s">
        <v>281</v>
      </c>
      <c r="C106" s="2" t="s">
        <v>208</v>
      </c>
      <c r="D106" s="2" t="s">
        <v>87</v>
      </c>
      <c r="E106" s="2" t="s">
        <v>11</v>
      </c>
    </row>
    <row r="107" spans="1:5">
      <c r="A107" s="2" t="s">
        <v>282</v>
      </c>
      <c r="B107" s="2" t="s">
        <v>283</v>
      </c>
      <c r="C107" s="2" t="s">
        <v>210</v>
      </c>
      <c r="D107" s="2" t="s">
        <v>87</v>
      </c>
      <c r="E107" s="2" t="s">
        <v>12</v>
      </c>
    </row>
    <row r="108" spans="1:5">
      <c r="A108" s="2" t="s">
        <v>284</v>
      </c>
      <c r="B108" s="2" t="s">
        <v>285</v>
      </c>
      <c r="C108" s="2" t="s">
        <v>212</v>
      </c>
      <c r="D108" s="2" t="s">
        <v>87</v>
      </c>
      <c r="E108" s="2" t="s">
        <v>13</v>
      </c>
    </row>
    <row r="109" spans="1:5">
      <c r="A109" s="2" t="s">
        <v>286</v>
      </c>
      <c r="B109" s="2" t="s">
        <v>287</v>
      </c>
      <c r="C109" s="2" t="s">
        <v>214</v>
      </c>
      <c r="D109" s="2" t="s">
        <v>87</v>
      </c>
      <c r="E109" s="2" t="s">
        <v>14</v>
      </c>
    </row>
    <row r="110" spans="1:5">
      <c r="A110" s="2" t="s">
        <v>288</v>
      </c>
      <c r="B110" s="2" t="s">
        <v>289</v>
      </c>
      <c r="C110" s="2" t="s">
        <v>53</v>
      </c>
      <c r="D110" s="2" t="s">
        <v>87</v>
      </c>
      <c r="E110" s="2" t="s">
        <v>16</v>
      </c>
    </row>
    <row r="111" spans="1:5">
      <c r="A111" s="2" t="s">
        <v>290</v>
      </c>
      <c r="B111" s="2" t="s">
        <v>291</v>
      </c>
      <c r="C111" s="2" t="s">
        <v>54</v>
      </c>
      <c r="D111" s="2" t="s">
        <v>87</v>
      </c>
      <c r="E111" s="2" t="s">
        <v>18</v>
      </c>
    </row>
    <row r="112" spans="1:5">
      <c r="A112" s="2" t="s">
        <v>292</v>
      </c>
      <c r="B112" s="2" t="s">
        <v>293</v>
      </c>
      <c r="C112" s="2" t="s">
        <v>55</v>
      </c>
      <c r="D112" s="2" t="s">
        <v>90</v>
      </c>
      <c r="E112" s="2" t="s">
        <v>5</v>
      </c>
    </row>
    <row r="113" spans="1:5">
      <c r="A113" s="2" t="s">
        <v>294</v>
      </c>
      <c r="B113" s="2" t="s">
        <v>295</v>
      </c>
      <c r="C113" s="2" t="s">
        <v>56</v>
      </c>
      <c r="D113" s="2" t="s">
        <v>90</v>
      </c>
      <c r="E113" s="2" t="s">
        <v>6</v>
      </c>
    </row>
    <row r="114" spans="1:5">
      <c r="A114" s="2" t="s">
        <v>296</v>
      </c>
      <c r="B114" s="2" t="s">
        <v>297</v>
      </c>
      <c r="C114" s="2" t="s">
        <v>57</v>
      </c>
      <c r="D114" s="2" t="s">
        <v>90</v>
      </c>
      <c r="E114" s="2" t="s">
        <v>7</v>
      </c>
    </row>
    <row r="115" spans="1:5">
      <c r="A115" s="2" t="s">
        <v>298</v>
      </c>
      <c r="B115" s="2" t="s">
        <v>299</v>
      </c>
      <c r="C115" s="2" t="s">
        <v>58</v>
      </c>
      <c r="D115" s="2" t="s">
        <v>90</v>
      </c>
      <c r="E115" s="2" t="s">
        <v>8</v>
      </c>
    </row>
    <row r="116" spans="1:5">
      <c r="A116" s="2" t="s">
        <v>300</v>
      </c>
      <c r="B116" s="2" t="s">
        <v>301</v>
      </c>
      <c r="C116" s="2" t="s">
        <v>216</v>
      </c>
      <c r="D116" s="2" t="s">
        <v>90</v>
      </c>
      <c r="E116" s="2" t="s">
        <v>9</v>
      </c>
    </row>
    <row r="117" spans="1:5">
      <c r="A117" s="2" t="s">
        <v>302</v>
      </c>
      <c r="B117" s="2" t="s">
        <v>303</v>
      </c>
      <c r="C117" s="2" t="s">
        <v>218</v>
      </c>
      <c r="D117" s="2" t="s">
        <v>90</v>
      </c>
      <c r="E117" s="2" t="s">
        <v>10</v>
      </c>
    </row>
    <row r="118" spans="1:5">
      <c r="A118" s="2" t="s">
        <v>304</v>
      </c>
      <c r="B118" s="2" t="s">
        <v>305</v>
      </c>
      <c r="C118" s="2" t="s">
        <v>220</v>
      </c>
      <c r="D118" s="2" t="s">
        <v>90</v>
      </c>
      <c r="E118" s="2" t="s">
        <v>11</v>
      </c>
    </row>
    <row r="119" spans="1:5">
      <c r="A119" s="2" t="s">
        <v>306</v>
      </c>
      <c r="B119" s="2" t="s">
        <v>307</v>
      </c>
      <c r="C119" s="2" t="s">
        <v>222</v>
      </c>
      <c r="D119" s="2" t="s">
        <v>90</v>
      </c>
      <c r="E119" s="2" t="s">
        <v>12</v>
      </c>
    </row>
    <row r="120" spans="1:5">
      <c r="A120" s="2" t="s">
        <v>308</v>
      </c>
      <c r="B120" s="2" t="s">
        <v>309</v>
      </c>
      <c r="C120" s="2" t="s">
        <v>224</v>
      </c>
      <c r="D120" s="2" t="s">
        <v>90</v>
      </c>
      <c r="E120" s="2" t="s">
        <v>13</v>
      </c>
    </row>
    <row r="121" spans="1:5">
      <c r="A121" s="2" t="s">
        <v>310</v>
      </c>
      <c r="B121" s="2" t="s">
        <v>311</v>
      </c>
      <c r="C121" s="2" t="s">
        <v>226</v>
      </c>
      <c r="D121" s="2" t="s">
        <v>90</v>
      </c>
      <c r="E121" s="2" t="s">
        <v>14</v>
      </c>
    </row>
    <row r="122" spans="1:5">
      <c r="A122" s="2" t="s">
        <v>312</v>
      </c>
      <c r="B122" s="2" t="s">
        <v>313</v>
      </c>
      <c r="C122" s="2" t="s">
        <v>228</v>
      </c>
      <c r="D122" s="2" t="s">
        <v>90</v>
      </c>
      <c r="E122" s="2" t="s">
        <v>16</v>
      </c>
    </row>
    <row r="123" spans="1:5">
      <c r="A123" s="2" t="s">
        <v>314</v>
      </c>
      <c r="B123" s="2" t="s">
        <v>315</v>
      </c>
      <c r="C123" s="2" t="s">
        <v>230</v>
      </c>
      <c r="D123" s="2" t="s">
        <v>90</v>
      </c>
      <c r="E123" s="2" t="s">
        <v>18</v>
      </c>
    </row>
    <row r="124" spans="1:5">
      <c r="A124" s="2" t="s">
        <v>316</v>
      </c>
      <c r="B124" s="2" t="s">
        <v>317</v>
      </c>
      <c r="C124" s="2" t="s">
        <v>232</v>
      </c>
      <c r="D124" s="2" t="s">
        <v>93</v>
      </c>
      <c r="E124" s="2" t="s">
        <v>5</v>
      </c>
    </row>
    <row r="125" spans="1:5">
      <c r="A125" s="2" t="s">
        <v>318</v>
      </c>
      <c r="B125" s="2" t="s">
        <v>319</v>
      </c>
      <c r="C125" s="2" t="s">
        <v>234</v>
      </c>
      <c r="D125" s="2" t="s">
        <v>93</v>
      </c>
      <c r="E125" s="2" t="s">
        <v>6</v>
      </c>
    </row>
    <row r="126" spans="1:5">
      <c r="A126" s="2" t="s">
        <v>320</v>
      </c>
      <c r="B126" s="2" t="s">
        <v>321</v>
      </c>
      <c r="C126" s="2" t="s">
        <v>59</v>
      </c>
      <c r="D126" s="2" t="s">
        <v>93</v>
      </c>
      <c r="E126" s="2" t="s">
        <v>7</v>
      </c>
    </row>
    <row r="127" spans="1:5">
      <c r="A127" s="2" t="s">
        <v>322</v>
      </c>
      <c r="B127" s="2" t="s">
        <v>323</v>
      </c>
      <c r="C127" s="2" t="s">
        <v>60</v>
      </c>
      <c r="D127" s="2" t="s">
        <v>93</v>
      </c>
      <c r="E127" s="2" t="s">
        <v>8</v>
      </c>
    </row>
    <row r="128" spans="1:5">
      <c r="A128" s="2" t="s">
        <v>324</v>
      </c>
      <c r="B128" s="2" t="s">
        <v>325</v>
      </c>
      <c r="C128" s="2" t="s">
        <v>61</v>
      </c>
      <c r="D128" s="2" t="s">
        <v>93</v>
      </c>
      <c r="E128" s="2" t="s">
        <v>9</v>
      </c>
    </row>
    <row r="129" spans="1:5">
      <c r="A129" s="2" t="s">
        <v>326</v>
      </c>
      <c r="B129" s="2" t="s">
        <v>327</v>
      </c>
      <c r="C129" s="2" t="s">
        <v>62</v>
      </c>
      <c r="D129" s="2" t="s">
        <v>93</v>
      </c>
      <c r="E129" s="2" t="s">
        <v>10</v>
      </c>
    </row>
    <row r="130" spans="1:5">
      <c r="A130" s="2" t="s">
        <v>328</v>
      </c>
      <c r="B130" s="2" t="s">
        <v>329</v>
      </c>
      <c r="C130" s="2" t="s">
        <v>63</v>
      </c>
      <c r="D130" s="2" t="s">
        <v>93</v>
      </c>
      <c r="E130" s="2" t="s">
        <v>11</v>
      </c>
    </row>
    <row r="131" spans="1:5">
      <c r="A131" s="2" t="s">
        <v>330</v>
      </c>
      <c r="B131" s="2" t="s">
        <v>331</v>
      </c>
      <c r="C131" s="2" t="s">
        <v>64</v>
      </c>
      <c r="D131" s="2" t="s">
        <v>93</v>
      </c>
      <c r="E131" s="2" t="s">
        <v>12</v>
      </c>
    </row>
  </sheetData>
  <mergeCells count="2">
    <mergeCell ref="B3:C3"/>
    <mergeCell ref="A1:E1"/>
  </mergeCells>
  <phoneticPr fontId="1" type="noConversion"/>
  <pageMargins left="0.7" right="0.7" top="0.75" bottom="0.75" header="0.3" footer="0.3"/>
  <pageSetup paperSize="0" orientation="portrait" horizontalDpi="0" verticalDpi="0" copie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68"/>
  <sheetViews>
    <sheetView topLeftCell="A22" workbookViewId="0">
      <selection activeCell="D31" sqref="D31"/>
    </sheetView>
  </sheetViews>
  <sheetFormatPr defaultRowHeight="19.5" customHeight="1"/>
  <cols>
    <col min="1" max="1" width="5.625" style="7" customWidth="1"/>
    <col min="2" max="2" width="14.125" style="7" customWidth="1"/>
    <col min="3" max="3" width="14.5" style="7" customWidth="1"/>
    <col min="4" max="4" width="51.625" style="7" customWidth="1"/>
    <col min="5" max="5" width="33" style="7" customWidth="1"/>
    <col min="6" max="16384" width="9" style="7"/>
  </cols>
  <sheetData>
    <row r="1" spans="1:5" ht="19.5" customHeight="1">
      <c r="B1" s="41" t="s">
        <v>332</v>
      </c>
      <c r="C1" s="42"/>
      <c r="D1" s="42"/>
      <c r="E1" s="42"/>
    </row>
    <row r="2" spans="1:5" ht="19.5" customHeight="1">
      <c r="A2" s="57"/>
      <c r="B2" s="6" t="s">
        <v>333</v>
      </c>
      <c r="C2" s="6" t="s">
        <v>335</v>
      </c>
      <c r="D2" s="44" t="s">
        <v>336</v>
      </c>
      <c r="E2" s="43" t="s">
        <v>403</v>
      </c>
    </row>
    <row r="3" spans="1:5" ht="19.5" customHeight="1">
      <c r="A3" s="58"/>
      <c r="B3" s="6" t="s">
        <v>334</v>
      </c>
      <c r="C3" s="6" t="s">
        <v>334</v>
      </c>
      <c r="D3" s="44"/>
      <c r="E3" s="43"/>
    </row>
    <row r="4" spans="1:5" ht="19.5" customHeight="1">
      <c r="A4" s="9"/>
      <c r="B4" s="45"/>
      <c r="C4" s="45"/>
      <c r="D4" s="45"/>
      <c r="E4" s="8"/>
    </row>
    <row r="5" spans="1:5" ht="19.5" customHeight="1">
      <c r="A5" s="9"/>
      <c r="B5" s="40" t="s">
        <v>337</v>
      </c>
      <c r="C5" s="40"/>
      <c r="D5" s="40"/>
      <c r="E5" s="9"/>
    </row>
    <row r="6" spans="1:5" ht="19.5" customHeight="1">
      <c r="A6" s="9"/>
      <c r="B6" s="40"/>
      <c r="C6" s="40"/>
      <c r="D6" s="40"/>
      <c r="E6" s="9"/>
    </row>
    <row r="7" spans="1:5" ht="19.5" customHeight="1">
      <c r="A7" s="54" t="s">
        <v>769</v>
      </c>
      <c r="B7" s="40" t="s">
        <v>338</v>
      </c>
      <c r="C7" s="5" t="s">
        <v>339</v>
      </c>
      <c r="D7" s="5" t="s">
        <v>341</v>
      </c>
      <c r="E7" s="9"/>
    </row>
    <row r="8" spans="1:5" ht="39" customHeight="1">
      <c r="A8" s="54"/>
      <c r="B8" s="40"/>
      <c r="C8" s="5" t="s">
        <v>340</v>
      </c>
      <c r="D8" s="5" t="s">
        <v>342</v>
      </c>
      <c r="E8" s="9"/>
    </row>
    <row r="9" spans="1:5" ht="19.5" customHeight="1">
      <c r="A9" s="55" t="s">
        <v>770</v>
      </c>
      <c r="B9" s="40" t="s">
        <v>343</v>
      </c>
      <c r="C9" s="5" t="s">
        <v>339</v>
      </c>
      <c r="D9" s="5" t="s">
        <v>344</v>
      </c>
      <c r="E9" s="9"/>
    </row>
    <row r="10" spans="1:5" ht="39.75" customHeight="1">
      <c r="A10" s="56"/>
      <c r="B10" s="40"/>
      <c r="C10" s="5" t="s">
        <v>340</v>
      </c>
      <c r="D10" s="5" t="s">
        <v>345</v>
      </c>
      <c r="E10" s="9"/>
    </row>
    <row r="11" spans="1:5" ht="19.5" customHeight="1">
      <c r="A11" s="55" t="s">
        <v>771</v>
      </c>
      <c r="B11" s="40" t="s">
        <v>346</v>
      </c>
      <c r="C11" s="5" t="s">
        <v>339</v>
      </c>
      <c r="D11" s="5" t="s">
        <v>347</v>
      </c>
      <c r="E11" s="9"/>
    </row>
    <row r="12" spans="1:5" ht="59.25" customHeight="1">
      <c r="A12" s="56"/>
      <c r="B12" s="40"/>
      <c r="C12" s="5" t="s">
        <v>340</v>
      </c>
      <c r="D12" s="5" t="s">
        <v>952</v>
      </c>
      <c r="E12" s="9"/>
    </row>
    <row r="13" spans="1:5" ht="19.5" customHeight="1">
      <c r="A13" s="55" t="s">
        <v>772</v>
      </c>
      <c r="B13" s="40" t="s">
        <v>348</v>
      </c>
      <c r="C13" s="5" t="s">
        <v>349</v>
      </c>
      <c r="D13" s="5" t="s">
        <v>350</v>
      </c>
      <c r="E13" s="9"/>
    </row>
    <row r="14" spans="1:5" ht="92.25" customHeight="1">
      <c r="A14" s="56"/>
      <c r="B14" s="40"/>
      <c r="C14" s="5" t="s">
        <v>340</v>
      </c>
      <c r="D14" s="5" t="s">
        <v>351</v>
      </c>
      <c r="E14" s="9"/>
    </row>
    <row r="15" spans="1:5" ht="42.75" customHeight="1">
      <c r="A15" s="9" t="s">
        <v>773</v>
      </c>
      <c r="B15" s="5" t="s">
        <v>352</v>
      </c>
      <c r="C15" s="5" t="s">
        <v>353</v>
      </c>
      <c r="D15" s="5" t="s">
        <v>354</v>
      </c>
      <c r="E15" s="9"/>
    </row>
    <row r="16" spans="1:5" ht="81.75" customHeight="1">
      <c r="A16" s="9" t="s">
        <v>774</v>
      </c>
      <c r="B16" s="5" t="s">
        <v>355</v>
      </c>
      <c r="C16" s="5" t="s">
        <v>340</v>
      </c>
      <c r="D16" s="5" t="s">
        <v>356</v>
      </c>
      <c r="E16" s="9"/>
    </row>
    <row r="17" spans="1:5" ht="19.5" customHeight="1">
      <c r="A17" s="55" t="s">
        <v>775</v>
      </c>
      <c r="B17" s="40" t="s">
        <v>357</v>
      </c>
      <c r="C17" s="5" t="s">
        <v>358</v>
      </c>
      <c r="D17" s="40" t="s">
        <v>360</v>
      </c>
      <c r="E17" s="9"/>
    </row>
    <row r="18" spans="1:5" ht="98.25" customHeight="1">
      <c r="A18" s="56"/>
      <c r="B18" s="40"/>
      <c r="C18" s="5" t="s">
        <v>359</v>
      </c>
      <c r="D18" s="40"/>
      <c r="E18" s="9"/>
    </row>
    <row r="19" spans="1:5" ht="19.5" customHeight="1">
      <c r="A19" s="9"/>
      <c r="B19" s="39"/>
      <c r="C19" s="39"/>
      <c r="D19" s="39"/>
      <c r="E19" s="9"/>
    </row>
    <row r="20" spans="1:5" ht="19.5" customHeight="1">
      <c r="A20" s="9"/>
      <c r="B20" s="40" t="s">
        <v>361</v>
      </c>
      <c r="C20" s="40"/>
      <c r="D20" s="40"/>
      <c r="E20" s="9"/>
    </row>
    <row r="21" spans="1:5" ht="19.5" customHeight="1">
      <c r="A21" s="9"/>
      <c r="B21" s="40"/>
      <c r="C21" s="40"/>
      <c r="D21" s="40"/>
      <c r="E21" s="9"/>
    </row>
    <row r="22" spans="1:5" ht="19.5" customHeight="1">
      <c r="A22" s="55" t="s">
        <v>772</v>
      </c>
      <c r="B22" s="40" t="s">
        <v>348</v>
      </c>
      <c r="C22" s="5" t="s">
        <v>349</v>
      </c>
      <c r="D22" s="5" t="s">
        <v>362</v>
      </c>
      <c r="E22" s="9"/>
    </row>
    <row r="23" spans="1:5" ht="57.75" customHeight="1">
      <c r="A23" s="56"/>
      <c r="B23" s="40"/>
      <c r="C23" s="5" t="s">
        <v>340</v>
      </c>
      <c r="D23" s="5" t="s">
        <v>363</v>
      </c>
      <c r="E23" s="9"/>
    </row>
    <row r="24" spans="1:5" ht="61.5" customHeight="1">
      <c r="A24" s="55"/>
      <c r="B24" s="40"/>
      <c r="C24" s="40"/>
      <c r="D24" s="5" t="s">
        <v>364</v>
      </c>
      <c r="E24" s="9"/>
    </row>
    <row r="25" spans="1:5" ht="56.25" customHeight="1">
      <c r="A25" s="59"/>
      <c r="B25" s="40"/>
      <c r="C25" s="40"/>
      <c r="D25" s="5" t="s">
        <v>365</v>
      </c>
      <c r="E25" s="9"/>
    </row>
    <row r="26" spans="1:5" ht="38.25" customHeight="1">
      <c r="A26" s="59"/>
      <c r="B26" s="40"/>
      <c r="C26" s="40"/>
      <c r="D26" s="5" t="s">
        <v>366</v>
      </c>
      <c r="E26" s="9"/>
    </row>
    <row r="27" spans="1:5" ht="67.5" customHeight="1">
      <c r="A27" s="59"/>
      <c r="B27" s="40"/>
      <c r="C27" s="40"/>
      <c r="D27" s="5" t="s">
        <v>367</v>
      </c>
      <c r="E27" s="9"/>
    </row>
    <row r="28" spans="1:5" ht="19.5" customHeight="1">
      <c r="A28" s="59"/>
      <c r="B28" s="40"/>
      <c r="C28" s="40"/>
      <c r="D28" s="5" t="s">
        <v>368</v>
      </c>
      <c r="E28" s="9"/>
    </row>
    <row r="29" spans="1:5" ht="19.5" customHeight="1">
      <c r="A29" s="59"/>
      <c r="B29" s="40"/>
      <c r="C29" s="40"/>
      <c r="D29" s="5" t="s">
        <v>369</v>
      </c>
      <c r="E29" s="9"/>
    </row>
    <row r="30" spans="1:5" ht="41.25" customHeight="1">
      <c r="A30" s="59"/>
      <c r="B30" s="40"/>
      <c r="C30" s="40"/>
      <c r="D30" s="5" t="s">
        <v>370</v>
      </c>
      <c r="E30" s="9"/>
    </row>
    <row r="31" spans="1:5" ht="39" customHeight="1">
      <c r="A31" s="59"/>
      <c r="B31" s="40"/>
      <c r="C31" s="40"/>
      <c r="D31" s="5" t="s">
        <v>371</v>
      </c>
      <c r="E31" s="9"/>
    </row>
    <row r="32" spans="1:5" ht="19.5" customHeight="1">
      <c r="A32" s="59"/>
      <c r="B32" s="40"/>
      <c r="C32" s="40"/>
      <c r="D32" s="5" t="s">
        <v>372</v>
      </c>
      <c r="E32" s="9"/>
    </row>
    <row r="33" spans="1:5" ht="19.5" customHeight="1">
      <c r="A33" s="59"/>
      <c r="B33" s="40"/>
      <c r="C33" s="40"/>
      <c r="D33" s="5" t="s">
        <v>373</v>
      </c>
      <c r="E33" s="9"/>
    </row>
    <row r="34" spans="1:5" ht="39" customHeight="1">
      <c r="A34" s="59"/>
      <c r="B34" s="40"/>
      <c r="C34" s="40"/>
      <c r="D34" s="5" t="s">
        <v>374</v>
      </c>
      <c r="E34" s="9"/>
    </row>
    <row r="35" spans="1:5" ht="37.5" customHeight="1">
      <c r="A35" s="56"/>
      <c r="B35" s="40"/>
      <c r="C35" s="40"/>
      <c r="D35" s="5" t="s">
        <v>375</v>
      </c>
      <c r="E35" s="9"/>
    </row>
    <row r="36" spans="1:5" ht="19.5" customHeight="1">
      <c r="A36" s="9"/>
      <c r="B36" s="39"/>
      <c r="C36" s="39"/>
      <c r="D36" s="39"/>
      <c r="E36" s="9"/>
    </row>
    <row r="37" spans="1:5" ht="19.5" customHeight="1">
      <c r="A37" s="9"/>
      <c r="B37" s="40" t="s">
        <v>376</v>
      </c>
      <c r="C37" s="40"/>
      <c r="D37" s="40"/>
      <c r="E37" s="9"/>
    </row>
    <row r="38" spans="1:5" ht="19.5" customHeight="1">
      <c r="A38" s="9"/>
      <c r="B38" s="40"/>
      <c r="C38" s="40"/>
      <c r="D38" s="40"/>
      <c r="E38" s="9"/>
    </row>
    <row r="39" spans="1:5" ht="19.5" customHeight="1">
      <c r="A39" s="55" t="s">
        <v>776</v>
      </c>
      <c r="B39" s="40">
        <v>11110000</v>
      </c>
      <c r="C39" s="5" t="s">
        <v>377</v>
      </c>
      <c r="D39" s="5" t="s">
        <v>382</v>
      </c>
      <c r="E39" s="9"/>
    </row>
    <row r="40" spans="1:5" ht="183.75" customHeight="1">
      <c r="A40" s="59"/>
      <c r="B40" s="40"/>
      <c r="C40" s="5" t="s">
        <v>378</v>
      </c>
      <c r="D40" s="5" t="s">
        <v>383</v>
      </c>
      <c r="E40" s="9"/>
    </row>
    <row r="41" spans="1:5" ht="19.5" customHeight="1">
      <c r="A41" s="59"/>
      <c r="B41" s="40"/>
      <c r="C41" s="5" t="s">
        <v>379</v>
      </c>
      <c r="D41" s="5"/>
      <c r="E41" s="9"/>
    </row>
    <row r="42" spans="1:5" ht="19.5" customHeight="1">
      <c r="A42" s="59"/>
      <c r="B42" s="40"/>
      <c r="C42" s="5" t="s">
        <v>380</v>
      </c>
      <c r="D42" s="5"/>
      <c r="E42" s="9"/>
    </row>
    <row r="43" spans="1:5" ht="19.5" customHeight="1">
      <c r="A43" s="59"/>
      <c r="B43" s="40"/>
      <c r="C43" s="5" t="s">
        <v>381</v>
      </c>
      <c r="D43" s="5"/>
      <c r="E43" s="9"/>
    </row>
    <row r="44" spans="1:5" ht="19.5" customHeight="1">
      <c r="A44" s="59"/>
      <c r="B44" s="40"/>
      <c r="C44" s="5" t="s">
        <v>381</v>
      </c>
      <c r="D44" s="5"/>
      <c r="E44" s="9"/>
    </row>
    <row r="45" spans="1:5" ht="19.5" customHeight="1">
      <c r="A45" s="59"/>
      <c r="B45" s="40"/>
      <c r="C45" s="5" t="s">
        <v>380</v>
      </c>
      <c r="D45" s="5"/>
      <c r="E45" s="9"/>
    </row>
    <row r="46" spans="1:5" ht="19.5" customHeight="1">
      <c r="A46" s="56"/>
      <c r="B46" s="40"/>
      <c r="C46" s="5">
        <v>11110111</v>
      </c>
      <c r="D46" s="5"/>
      <c r="E46" s="9"/>
    </row>
    <row r="47" spans="1:5" ht="19.5" customHeight="1">
      <c r="A47" s="55" t="s">
        <v>777</v>
      </c>
      <c r="B47" s="40">
        <v>11110001</v>
      </c>
      <c r="C47" s="40" t="s">
        <v>384</v>
      </c>
      <c r="D47" s="5" t="s">
        <v>385</v>
      </c>
      <c r="E47" s="9"/>
    </row>
    <row r="48" spans="1:5" ht="19.5" customHeight="1">
      <c r="A48" s="59"/>
      <c r="B48" s="40"/>
      <c r="C48" s="40"/>
      <c r="D48" s="5" t="s">
        <v>386</v>
      </c>
      <c r="E48" s="9"/>
    </row>
    <row r="49" spans="1:5" ht="19.5" customHeight="1">
      <c r="A49" s="56"/>
      <c r="B49" s="40"/>
      <c r="C49" s="40"/>
      <c r="D49" s="5" t="s">
        <v>387</v>
      </c>
      <c r="E49" s="9"/>
    </row>
    <row r="50" spans="1:5" ht="19.5" customHeight="1">
      <c r="A50" s="55" t="s">
        <v>778</v>
      </c>
      <c r="B50" s="40">
        <v>11110010</v>
      </c>
      <c r="C50" s="5" t="s">
        <v>358</v>
      </c>
      <c r="D50" s="5" t="s">
        <v>388</v>
      </c>
      <c r="E50" s="9"/>
    </row>
    <row r="51" spans="1:5" ht="57" customHeight="1">
      <c r="A51" s="56"/>
      <c r="B51" s="40"/>
      <c r="C51" s="5" t="s">
        <v>359</v>
      </c>
      <c r="D51" s="5" t="s">
        <v>389</v>
      </c>
      <c r="E51" s="9"/>
    </row>
    <row r="52" spans="1:5" ht="19.5" customHeight="1">
      <c r="A52" s="55" t="s">
        <v>779</v>
      </c>
      <c r="B52" s="40">
        <v>11110011</v>
      </c>
      <c r="C52" s="40" t="s">
        <v>390</v>
      </c>
      <c r="D52" s="5" t="s">
        <v>391</v>
      </c>
      <c r="E52" s="9"/>
    </row>
    <row r="53" spans="1:5" ht="38.25" customHeight="1">
      <c r="A53" s="56"/>
      <c r="B53" s="40"/>
      <c r="C53" s="40"/>
      <c r="D53" s="5" t="s">
        <v>392</v>
      </c>
      <c r="E53" s="9"/>
    </row>
    <row r="54" spans="1:5" ht="19.5" customHeight="1">
      <c r="A54" s="9" t="s">
        <v>780</v>
      </c>
      <c r="B54" s="5">
        <v>11110100</v>
      </c>
      <c r="C54" s="5"/>
      <c r="D54" s="5" t="s">
        <v>393</v>
      </c>
      <c r="E54" s="9"/>
    </row>
    <row r="55" spans="1:5" ht="19.5" customHeight="1">
      <c r="A55" s="9" t="s">
        <v>781</v>
      </c>
      <c r="B55" s="5">
        <v>11110101</v>
      </c>
      <c r="C55" s="5"/>
      <c r="D55" s="5" t="s">
        <v>393</v>
      </c>
      <c r="E55" s="9"/>
    </row>
    <row r="56" spans="1:5" ht="39" customHeight="1">
      <c r="A56" s="9" t="s">
        <v>782</v>
      </c>
      <c r="B56" s="5">
        <v>11110110</v>
      </c>
      <c r="C56" s="5"/>
      <c r="D56" s="5" t="s">
        <v>394</v>
      </c>
      <c r="E56" s="9"/>
    </row>
    <row r="57" spans="1:5" ht="19.5" customHeight="1">
      <c r="A57" s="9" t="s">
        <v>783</v>
      </c>
      <c r="B57" s="5">
        <v>11110111</v>
      </c>
      <c r="C57" s="5"/>
      <c r="D57" s="5" t="s">
        <v>395</v>
      </c>
      <c r="E57" s="9"/>
    </row>
    <row r="58" spans="1:5" ht="19.5" customHeight="1">
      <c r="A58" s="9"/>
      <c r="B58" s="39"/>
      <c r="C58" s="39"/>
      <c r="D58" s="39"/>
      <c r="E58" s="9"/>
    </row>
    <row r="59" spans="1:5" ht="19.5" customHeight="1">
      <c r="A59" s="9"/>
      <c r="B59" s="40" t="s">
        <v>396</v>
      </c>
      <c r="C59" s="40"/>
      <c r="D59" s="40"/>
      <c r="E59" s="9"/>
    </row>
    <row r="60" spans="1:5" ht="19.5" customHeight="1">
      <c r="A60" s="9"/>
      <c r="B60" s="40"/>
      <c r="C60" s="40"/>
      <c r="D60" s="40"/>
      <c r="E60" s="9"/>
    </row>
    <row r="61" spans="1:5" ht="38.25" customHeight="1">
      <c r="A61" s="9" t="s">
        <v>784</v>
      </c>
      <c r="B61" s="5">
        <v>11111000</v>
      </c>
      <c r="C61" s="5"/>
      <c r="D61" s="5" t="s">
        <v>397</v>
      </c>
      <c r="E61" s="9"/>
    </row>
    <row r="62" spans="1:5" ht="19.5" customHeight="1">
      <c r="A62" s="9" t="s">
        <v>785</v>
      </c>
      <c r="B62" s="5">
        <v>11111001</v>
      </c>
      <c r="C62" s="5"/>
      <c r="D62" s="5" t="s">
        <v>393</v>
      </c>
      <c r="E62" s="9"/>
    </row>
    <row r="63" spans="1:5" ht="38.25" customHeight="1">
      <c r="A63" s="9" t="s">
        <v>786</v>
      </c>
      <c r="B63" s="5">
        <v>11111010</v>
      </c>
      <c r="C63" s="5"/>
      <c r="D63" s="5" t="s">
        <v>398</v>
      </c>
      <c r="E63" s="9"/>
    </row>
    <row r="64" spans="1:5" ht="19.5" customHeight="1">
      <c r="A64" s="9" t="s">
        <v>787</v>
      </c>
      <c r="B64" s="5">
        <v>11111011</v>
      </c>
      <c r="C64" s="5"/>
      <c r="D64" s="5" t="s">
        <v>399</v>
      </c>
      <c r="E64" s="9"/>
    </row>
    <row r="65" spans="1:5" ht="19.5" customHeight="1">
      <c r="A65" s="9" t="s">
        <v>788</v>
      </c>
      <c r="B65" s="5">
        <v>11111100</v>
      </c>
      <c r="C65" s="5"/>
      <c r="D65" s="5" t="s">
        <v>400</v>
      </c>
      <c r="E65" s="9"/>
    </row>
    <row r="66" spans="1:5" ht="19.5" customHeight="1">
      <c r="A66" s="9" t="s">
        <v>789</v>
      </c>
      <c r="B66" s="5">
        <v>11111101</v>
      </c>
      <c r="C66" s="5"/>
      <c r="D66" s="5" t="s">
        <v>393</v>
      </c>
      <c r="E66" s="9"/>
    </row>
    <row r="67" spans="1:5" ht="137.25" customHeight="1">
      <c r="A67" s="9" t="s">
        <v>790</v>
      </c>
      <c r="B67" s="5">
        <v>11111110</v>
      </c>
      <c r="C67" s="5"/>
      <c r="D67" s="5" t="s">
        <v>401</v>
      </c>
      <c r="E67" s="9"/>
    </row>
    <row r="68" spans="1:5" ht="64.5" customHeight="1">
      <c r="A68" s="9" t="s">
        <v>791</v>
      </c>
      <c r="B68" s="5">
        <v>11111111</v>
      </c>
      <c r="C68" s="5"/>
      <c r="D68" s="5" t="s">
        <v>402</v>
      </c>
      <c r="E68" s="9"/>
    </row>
  </sheetData>
  <mergeCells count="41">
    <mergeCell ref="A50:A51"/>
    <mergeCell ref="A52:A53"/>
    <mergeCell ref="A17:A18"/>
    <mergeCell ref="A22:A23"/>
    <mergeCell ref="A24:A35"/>
    <mergeCell ref="A39:A46"/>
    <mergeCell ref="A47:A49"/>
    <mergeCell ref="A7:A8"/>
    <mergeCell ref="A2:A3"/>
    <mergeCell ref="A9:A10"/>
    <mergeCell ref="A11:A12"/>
    <mergeCell ref="A13:A14"/>
    <mergeCell ref="D2:D3"/>
    <mergeCell ref="B4:D4"/>
    <mergeCell ref="B5:D5"/>
    <mergeCell ref="B6:D6"/>
    <mergeCell ref="B7:B8"/>
    <mergeCell ref="B36:D36"/>
    <mergeCell ref="B37:D37"/>
    <mergeCell ref="B9:B10"/>
    <mergeCell ref="B11:B12"/>
    <mergeCell ref="B13:B14"/>
    <mergeCell ref="B17:B18"/>
    <mergeCell ref="D17:D18"/>
    <mergeCell ref="B19:D19"/>
    <mergeCell ref="B58:D58"/>
    <mergeCell ref="B59:D59"/>
    <mergeCell ref="B60:D60"/>
    <mergeCell ref="B1:E1"/>
    <mergeCell ref="E2:E3"/>
    <mergeCell ref="B38:D38"/>
    <mergeCell ref="B39:B46"/>
    <mergeCell ref="B47:B49"/>
    <mergeCell ref="C47:C49"/>
    <mergeCell ref="B50:B51"/>
    <mergeCell ref="B52:B53"/>
    <mergeCell ref="C52:C53"/>
    <mergeCell ref="B20:D20"/>
    <mergeCell ref="B21:D21"/>
    <mergeCell ref="B22:B23"/>
    <mergeCell ref="B24:C35"/>
  </mergeCells>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129"/>
  <sheetViews>
    <sheetView workbookViewId="0">
      <pane ySplit="1" topLeftCell="A2" activePane="bottomLeft" state="frozen"/>
      <selection pane="bottomLeft" activeCell="J6" sqref="J6"/>
    </sheetView>
  </sheetViews>
  <sheetFormatPr defaultRowHeight="13.5"/>
  <cols>
    <col min="1" max="1" width="5.5" customWidth="1"/>
    <col min="2" max="2" width="20.875" customWidth="1"/>
    <col min="3" max="3" width="12.875" customWidth="1"/>
    <col min="4" max="4" width="28.25" customWidth="1"/>
    <col min="5" max="5" width="35.75" customWidth="1"/>
    <col min="8" max="9" width="19.25" customWidth="1"/>
  </cols>
  <sheetData>
    <row r="1" spans="1:9">
      <c r="A1" s="10" t="s">
        <v>405</v>
      </c>
      <c r="B1" s="10" t="s">
        <v>552</v>
      </c>
      <c r="C1" s="10" t="s">
        <v>532</v>
      </c>
      <c r="D1" s="10" t="s">
        <v>406</v>
      </c>
      <c r="E1" s="10" t="s">
        <v>407</v>
      </c>
      <c r="H1" s="10" t="s">
        <v>820</v>
      </c>
      <c r="I1" s="10" t="s">
        <v>821</v>
      </c>
    </row>
    <row r="2" spans="1:9" ht="14.25">
      <c r="A2" s="11">
        <v>0</v>
      </c>
      <c r="B2" s="11" t="s">
        <v>535</v>
      </c>
      <c r="C2" s="11" t="s">
        <v>794</v>
      </c>
      <c r="D2" s="11" t="s">
        <v>408</v>
      </c>
      <c r="E2" s="11" t="s">
        <v>824</v>
      </c>
      <c r="H2" s="23" t="s">
        <v>794</v>
      </c>
      <c r="I2" s="23" t="str">
        <f>"音色!$A$"&amp;A2*8+2&amp;":$E$"&amp;A2*8+"9"</f>
        <v>音色!$A$2:$E$9</v>
      </c>
    </row>
    <row r="3" spans="1:9" ht="14.25">
      <c r="A3" s="11">
        <v>1</v>
      </c>
      <c r="B3" s="11" t="s">
        <v>535</v>
      </c>
      <c r="C3" s="11" t="s">
        <v>794</v>
      </c>
      <c r="D3" s="11" t="s">
        <v>409</v>
      </c>
      <c r="E3" s="11" t="s">
        <v>825</v>
      </c>
      <c r="H3" s="23" t="s">
        <v>795</v>
      </c>
      <c r="I3" s="23" t="str">
        <f t="shared" ref="I3:I17" si="0">"音色!$A$"&amp;A3*8+2&amp;":$E$"&amp;A3*8+"9"</f>
        <v>音色!$A$10:$E$17</v>
      </c>
    </row>
    <row r="4" spans="1:9" ht="14.25">
      <c r="A4" s="11">
        <v>2</v>
      </c>
      <c r="B4" s="11" t="s">
        <v>535</v>
      </c>
      <c r="C4" s="11" t="s">
        <v>794</v>
      </c>
      <c r="D4" s="11" t="s">
        <v>410</v>
      </c>
      <c r="E4" s="11" t="s">
        <v>826</v>
      </c>
      <c r="H4" s="23" t="s">
        <v>796</v>
      </c>
      <c r="I4" s="23" t="str">
        <f t="shared" si="0"/>
        <v>音色!$A$18:$E$25</v>
      </c>
    </row>
    <row r="5" spans="1:9" ht="14.25">
      <c r="A5" s="11">
        <v>3</v>
      </c>
      <c r="B5" s="11" t="s">
        <v>535</v>
      </c>
      <c r="C5" s="11" t="s">
        <v>794</v>
      </c>
      <c r="D5" s="11" t="s">
        <v>792</v>
      </c>
      <c r="E5" s="11" t="s">
        <v>827</v>
      </c>
      <c r="H5" s="23" t="s">
        <v>797</v>
      </c>
      <c r="I5" s="23" t="str">
        <f t="shared" si="0"/>
        <v>音色!$A$26:$E$33</v>
      </c>
    </row>
    <row r="6" spans="1:9" ht="14.25">
      <c r="A6" s="11">
        <v>4</v>
      </c>
      <c r="B6" s="11" t="s">
        <v>535</v>
      </c>
      <c r="C6" s="11" t="s">
        <v>794</v>
      </c>
      <c r="D6" s="11" t="s">
        <v>411</v>
      </c>
      <c r="E6" s="11" t="s">
        <v>828</v>
      </c>
      <c r="H6" s="23" t="s">
        <v>798</v>
      </c>
      <c r="I6" s="23" t="str">
        <f t="shared" si="0"/>
        <v>音色!$A$34:$E$41</v>
      </c>
    </row>
    <row r="7" spans="1:9" ht="14.25">
      <c r="A7" s="11">
        <v>5</v>
      </c>
      <c r="B7" s="11" t="s">
        <v>535</v>
      </c>
      <c r="C7" s="11" t="s">
        <v>794</v>
      </c>
      <c r="D7" s="11" t="s">
        <v>412</v>
      </c>
      <c r="E7" s="11" t="s">
        <v>829</v>
      </c>
      <c r="H7" s="23" t="s">
        <v>799</v>
      </c>
      <c r="I7" s="23" t="str">
        <f t="shared" si="0"/>
        <v>音色!$A$42:$E$49</v>
      </c>
    </row>
    <row r="8" spans="1:9" ht="14.25">
      <c r="A8" s="11">
        <v>6</v>
      </c>
      <c r="B8" s="11" t="s">
        <v>535</v>
      </c>
      <c r="C8" s="11" t="s">
        <v>794</v>
      </c>
      <c r="D8" s="11" t="s">
        <v>413</v>
      </c>
      <c r="E8" s="11" t="s">
        <v>830</v>
      </c>
      <c r="H8" s="23" t="s">
        <v>531</v>
      </c>
      <c r="I8" s="23" t="str">
        <f t="shared" si="0"/>
        <v>音色!$A$50:$E$57</v>
      </c>
    </row>
    <row r="9" spans="1:9" ht="14.25">
      <c r="A9" s="11">
        <v>7</v>
      </c>
      <c r="B9" s="11" t="s">
        <v>535</v>
      </c>
      <c r="C9" s="11" t="s">
        <v>794</v>
      </c>
      <c r="D9" s="11" t="s">
        <v>414</v>
      </c>
      <c r="E9" s="11" t="s">
        <v>831</v>
      </c>
      <c r="H9" s="23" t="s">
        <v>800</v>
      </c>
      <c r="I9" s="23" t="str">
        <f t="shared" si="0"/>
        <v>音色!$A$58:$E$65</v>
      </c>
    </row>
    <row r="10" spans="1:9" ht="14.25">
      <c r="A10" s="11">
        <v>8</v>
      </c>
      <c r="B10" s="11" t="s">
        <v>536</v>
      </c>
      <c r="C10" s="11" t="s">
        <v>795</v>
      </c>
      <c r="D10" s="11" t="s">
        <v>415</v>
      </c>
      <c r="E10" s="11" t="s">
        <v>832</v>
      </c>
      <c r="H10" s="23" t="s">
        <v>801</v>
      </c>
      <c r="I10" s="23" t="str">
        <f t="shared" si="0"/>
        <v>音色!$A$66:$E$73</v>
      </c>
    </row>
    <row r="11" spans="1:9" ht="14.25">
      <c r="A11" s="11">
        <v>9</v>
      </c>
      <c r="B11" s="11" t="s">
        <v>536</v>
      </c>
      <c r="C11" s="11" t="s">
        <v>795</v>
      </c>
      <c r="D11" s="11" t="s">
        <v>416</v>
      </c>
      <c r="E11" s="11" t="s">
        <v>833</v>
      </c>
      <c r="H11" s="23" t="s">
        <v>802</v>
      </c>
      <c r="I11" s="23" t="str">
        <f t="shared" si="0"/>
        <v>音色!$A$74:$E$81</v>
      </c>
    </row>
    <row r="12" spans="1:9" ht="14.25">
      <c r="A12" s="11">
        <v>10</v>
      </c>
      <c r="B12" s="11" t="s">
        <v>536</v>
      </c>
      <c r="C12" s="11" t="s">
        <v>795</v>
      </c>
      <c r="D12" s="11" t="s">
        <v>793</v>
      </c>
      <c r="E12" s="11" t="s">
        <v>834</v>
      </c>
      <c r="H12" s="23" t="s">
        <v>803</v>
      </c>
      <c r="I12" s="23" t="str">
        <f t="shared" si="0"/>
        <v>音色!$A$82:$E$89</v>
      </c>
    </row>
    <row r="13" spans="1:9" ht="14.25">
      <c r="A13" s="11">
        <v>11</v>
      </c>
      <c r="B13" s="11" t="s">
        <v>536</v>
      </c>
      <c r="C13" s="11" t="s">
        <v>795</v>
      </c>
      <c r="D13" s="11" t="s">
        <v>417</v>
      </c>
      <c r="E13" s="11" t="s">
        <v>835</v>
      </c>
      <c r="H13" s="23" t="s">
        <v>804</v>
      </c>
      <c r="I13" s="23" t="str">
        <f t="shared" si="0"/>
        <v>音色!$A$90:$E$97</v>
      </c>
    </row>
    <row r="14" spans="1:9" ht="14.25">
      <c r="A14" s="11">
        <v>12</v>
      </c>
      <c r="B14" s="11" t="s">
        <v>536</v>
      </c>
      <c r="C14" s="11" t="s">
        <v>795</v>
      </c>
      <c r="D14" s="11" t="s">
        <v>418</v>
      </c>
      <c r="E14" s="11" t="s">
        <v>836</v>
      </c>
      <c r="H14" s="23" t="s">
        <v>805</v>
      </c>
      <c r="I14" s="23" t="str">
        <f t="shared" si="0"/>
        <v>音色!$A$98:$E$105</v>
      </c>
    </row>
    <row r="15" spans="1:9" ht="14.25">
      <c r="A15" s="11">
        <v>13</v>
      </c>
      <c r="B15" s="11" t="s">
        <v>536</v>
      </c>
      <c r="C15" s="11" t="s">
        <v>795</v>
      </c>
      <c r="D15" s="11" t="s">
        <v>419</v>
      </c>
      <c r="E15" s="11" t="s">
        <v>837</v>
      </c>
      <c r="H15" s="23" t="s">
        <v>806</v>
      </c>
      <c r="I15" s="23" t="str">
        <f t="shared" si="0"/>
        <v>音色!$A$106:$E$113</v>
      </c>
    </row>
    <row r="16" spans="1:9" ht="14.25">
      <c r="A16" s="11">
        <v>14</v>
      </c>
      <c r="B16" s="11" t="s">
        <v>536</v>
      </c>
      <c r="C16" s="11" t="s">
        <v>795</v>
      </c>
      <c r="D16" s="11" t="s">
        <v>420</v>
      </c>
      <c r="E16" s="11" t="s">
        <v>838</v>
      </c>
      <c r="H16" s="23" t="s">
        <v>404</v>
      </c>
      <c r="I16" s="23" t="str">
        <f t="shared" si="0"/>
        <v>音色!$A$114:$E$121</v>
      </c>
    </row>
    <row r="17" spans="1:9" ht="14.25">
      <c r="A17" s="11">
        <v>15</v>
      </c>
      <c r="B17" s="11" t="s">
        <v>536</v>
      </c>
      <c r="C17" s="11" t="s">
        <v>795</v>
      </c>
      <c r="D17" s="11" t="s">
        <v>421</v>
      </c>
      <c r="E17" s="11" t="s">
        <v>839</v>
      </c>
      <c r="H17" s="23" t="s">
        <v>551</v>
      </c>
      <c r="I17" s="23" t="str">
        <f t="shared" si="0"/>
        <v>音色!$A$122:$E$129</v>
      </c>
    </row>
    <row r="18" spans="1:9">
      <c r="A18" s="11">
        <v>16</v>
      </c>
      <c r="B18" s="11" t="s">
        <v>537</v>
      </c>
      <c r="C18" s="11" t="s">
        <v>796</v>
      </c>
      <c r="D18" s="11" t="s">
        <v>422</v>
      </c>
      <c r="E18" s="11" t="s">
        <v>840</v>
      </c>
    </row>
    <row r="19" spans="1:9">
      <c r="A19" s="11">
        <v>17</v>
      </c>
      <c r="B19" s="11" t="s">
        <v>537</v>
      </c>
      <c r="C19" s="11" t="s">
        <v>796</v>
      </c>
      <c r="D19" s="11" t="s">
        <v>423</v>
      </c>
      <c r="E19" s="11" t="s">
        <v>841</v>
      </c>
    </row>
    <row r="20" spans="1:9">
      <c r="A20" s="11">
        <v>18</v>
      </c>
      <c r="B20" s="11" t="s">
        <v>537</v>
      </c>
      <c r="C20" s="11" t="s">
        <v>796</v>
      </c>
      <c r="D20" s="11" t="s">
        <v>424</v>
      </c>
      <c r="E20" s="11" t="s">
        <v>842</v>
      </c>
    </row>
    <row r="21" spans="1:9">
      <c r="A21" s="11">
        <v>19</v>
      </c>
      <c r="B21" s="11" t="s">
        <v>537</v>
      </c>
      <c r="C21" s="11" t="s">
        <v>796</v>
      </c>
      <c r="D21" s="11" t="s">
        <v>425</v>
      </c>
      <c r="E21" s="11" t="s">
        <v>843</v>
      </c>
    </row>
    <row r="22" spans="1:9">
      <c r="A22" s="11">
        <v>20</v>
      </c>
      <c r="B22" s="11" t="s">
        <v>537</v>
      </c>
      <c r="C22" s="11" t="s">
        <v>796</v>
      </c>
      <c r="D22" s="11" t="s">
        <v>426</v>
      </c>
      <c r="E22" s="11" t="s">
        <v>844</v>
      </c>
    </row>
    <row r="23" spans="1:9">
      <c r="A23" s="11">
        <v>21</v>
      </c>
      <c r="B23" s="11" t="s">
        <v>537</v>
      </c>
      <c r="C23" s="11" t="s">
        <v>796</v>
      </c>
      <c r="D23" s="11" t="s">
        <v>427</v>
      </c>
      <c r="E23" s="11" t="s">
        <v>845</v>
      </c>
    </row>
    <row r="24" spans="1:9">
      <c r="A24" s="11">
        <v>22</v>
      </c>
      <c r="B24" s="11" t="s">
        <v>537</v>
      </c>
      <c r="C24" s="11" t="s">
        <v>796</v>
      </c>
      <c r="D24" s="11" t="s">
        <v>428</v>
      </c>
      <c r="E24" s="11" t="s">
        <v>846</v>
      </c>
    </row>
    <row r="25" spans="1:9">
      <c r="A25" s="11">
        <v>23</v>
      </c>
      <c r="B25" s="11" t="s">
        <v>537</v>
      </c>
      <c r="C25" s="11" t="s">
        <v>796</v>
      </c>
      <c r="D25" s="11" t="s">
        <v>429</v>
      </c>
      <c r="E25" s="11" t="s">
        <v>847</v>
      </c>
    </row>
    <row r="26" spans="1:9">
      <c r="A26" s="11">
        <v>24</v>
      </c>
      <c r="B26" s="11" t="s">
        <v>538</v>
      </c>
      <c r="C26" s="11" t="s">
        <v>797</v>
      </c>
      <c r="D26" s="11" t="s">
        <v>430</v>
      </c>
      <c r="E26" s="11" t="s">
        <v>848</v>
      </c>
    </row>
    <row r="27" spans="1:9">
      <c r="A27" s="11">
        <v>25</v>
      </c>
      <c r="B27" s="11" t="s">
        <v>538</v>
      </c>
      <c r="C27" s="11" t="s">
        <v>797</v>
      </c>
      <c r="D27" s="11" t="s">
        <v>431</v>
      </c>
      <c r="E27" s="11" t="s">
        <v>849</v>
      </c>
    </row>
    <row r="28" spans="1:9">
      <c r="A28" s="11">
        <v>26</v>
      </c>
      <c r="B28" s="11" t="s">
        <v>538</v>
      </c>
      <c r="C28" s="11" t="s">
        <v>797</v>
      </c>
      <c r="D28" s="11" t="s">
        <v>432</v>
      </c>
      <c r="E28" s="11" t="s">
        <v>850</v>
      </c>
    </row>
    <row r="29" spans="1:9">
      <c r="A29" s="11">
        <v>27</v>
      </c>
      <c r="B29" s="11" t="s">
        <v>538</v>
      </c>
      <c r="C29" s="11" t="s">
        <v>797</v>
      </c>
      <c r="D29" s="11" t="s">
        <v>433</v>
      </c>
      <c r="E29" s="11" t="s">
        <v>851</v>
      </c>
    </row>
    <row r="30" spans="1:9">
      <c r="A30" s="11">
        <v>28</v>
      </c>
      <c r="B30" s="11" t="s">
        <v>538</v>
      </c>
      <c r="C30" s="11" t="s">
        <v>797</v>
      </c>
      <c r="D30" s="11" t="s">
        <v>434</v>
      </c>
      <c r="E30" s="11" t="s">
        <v>852</v>
      </c>
    </row>
    <row r="31" spans="1:9">
      <c r="A31" s="11">
        <v>29</v>
      </c>
      <c r="B31" s="11" t="s">
        <v>538</v>
      </c>
      <c r="C31" s="11" t="s">
        <v>797</v>
      </c>
      <c r="D31" s="11" t="s">
        <v>435</v>
      </c>
      <c r="E31" s="11" t="s">
        <v>853</v>
      </c>
    </row>
    <row r="32" spans="1:9">
      <c r="A32" s="11">
        <v>30</v>
      </c>
      <c r="B32" s="11" t="s">
        <v>538</v>
      </c>
      <c r="C32" s="11" t="s">
        <v>797</v>
      </c>
      <c r="D32" s="11" t="s">
        <v>436</v>
      </c>
      <c r="E32" s="11" t="s">
        <v>854</v>
      </c>
    </row>
    <row r="33" spans="1:5">
      <c r="A33" s="11">
        <v>31</v>
      </c>
      <c r="B33" s="11" t="s">
        <v>538</v>
      </c>
      <c r="C33" s="11" t="s">
        <v>797</v>
      </c>
      <c r="D33" s="11" t="s">
        <v>437</v>
      </c>
      <c r="E33" s="11" t="s">
        <v>855</v>
      </c>
    </row>
    <row r="34" spans="1:5">
      <c r="A34" s="11">
        <v>32</v>
      </c>
      <c r="B34" s="11" t="s">
        <v>539</v>
      </c>
      <c r="C34" s="11" t="s">
        <v>798</v>
      </c>
      <c r="D34" s="11" t="s">
        <v>438</v>
      </c>
      <c r="E34" s="11" t="s">
        <v>856</v>
      </c>
    </row>
    <row r="35" spans="1:5">
      <c r="A35" s="11">
        <v>33</v>
      </c>
      <c r="B35" s="11" t="s">
        <v>539</v>
      </c>
      <c r="C35" s="11" t="s">
        <v>798</v>
      </c>
      <c r="D35" s="11" t="s">
        <v>439</v>
      </c>
      <c r="E35" s="11" t="s">
        <v>857</v>
      </c>
    </row>
    <row r="36" spans="1:5">
      <c r="A36" s="11">
        <v>34</v>
      </c>
      <c r="B36" s="11" t="s">
        <v>539</v>
      </c>
      <c r="C36" s="11" t="s">
        <v>798</v>
      </c>
      <c r="D36" s="11" t="s">
        <v>440</v>
      </c>
      <c r="E36" s="11" t="s">
        <v>858</v>
      </c>
    </row>
    <row r="37" spans="1:5">
      <c r="A37" s="11">
        <v>35</v>
      </c>
      <c r="B37" s="11" t="s">
        <v>539</v>
      </c>
      <c r="C37" s="11" t="s">
        <v>798</v>
      </c>
      <c r="D37" s="11" t="s">
        <v>441</v>
      </c>
      <c r="E37" s="11" t="s">
        <v>859</v>
      </c>
    </row>
    <row r="38" spans="1:5">
      <c r="A38" s="11">
        <v>36</v>
      </c>
      <c r="B38" s="11" t="s">
        <v>539</v>
      </c>
      <c r="C38" s="11" t="s">
        <v>798</v>
      </c>
      <c r="D38" s="11" t="s">
        <v>442</v>
      </c>
      <c r="E38" s="11" t="s">
        <v>860</v>
      </c>
    </row>
    <row r="39" spans="1:5">
      <c r="A39" s="11">
        <v>37</v>
      </c>
      <c r="B39" s="11" t="s">
        <v>539</v>
      </c>
      <c r="C39" s="11" t="s">
        <v>798</v>
      </c>
      <c r="D39" s="11" t="s">
        <v>443</v>
      </c>
      <c r="E39" s="11" t="s">
        <v>861</v>
      </c>
    </row>
    <row r="40" spans="1:5">
      <c r="A40" s="11">
        <v>38</v>
      </c>
      <c r="B40" s="11" t="s">
        <v>539</v>
      </c>
      <c r="C40" s="11" t="s">
        <v>798</v>
      </c>
      <c r="D40" s="11" t="s">
        <v>444</v>
      </c>
      <c r="E40" s="11" t="s">
        <v>862</v>
      </c>
    </row>
    <row r="41" spans="1:5">
      <c r="A41" s="11">
        <v>39</v>
      </c>
      <c r="B41" s="11" t="s">
        <v>539</v>
      </c>
      <c r="C41" s="11" t="s">
        <v>798</v>
      </c>
      <c r="D41" s="11" t="s">
        <v>445</v>
      </c>
      <c r="E41" s="11" t="s">
        <v>863</v>
      </c>
    </row>
    <row r="42" spans="1:5">
      <c r="A42" s="11">
        <v>40</v>
      </c>
      <c r="B42" s="11" t="s">
        <v>540</v>
      </c>
      <c r="C42" s="11" t="s">
        <v>799</v>
      </c>
      <c r="D42" s="11" t="s">
        <v>446</v>
      </c>
      <c r="E42" s="11" t="s">
        <v>864</v>
      </c>
    </row>
    <row r="43" spans="1:5">
      <c r="A43" s="11">
        <v>41</v>
      </c>
      <c r="B43" s="11" t="s">
        <v>540</v>
      </c>
      <c r="C43" s="11" t="s">
        <v>799</v>
      </c>
      <c r="D43" s="11" t="s">
        <v>447</v>
      </c>
      <c r="E43" s="11" t="s">
        <v>865</v>
      </c>
    </row>
    <row r="44" spans="1:5">
      <c r="A44" s="11">
        <v>42</v>
      </c>
      <c r="B44" s="11" t="s">
        <v>540</v>
      </c>
      <c r="C44" s="11" t="s">
        <v>799</v>
      </c>
      <c r="D44" s="11" t="s">
        <v>448</v>
      </c>
      <c r="E44" s="11" t="s">
        <v>866</v>
      </c>
    </row>
    <row r="45" spans="1:5">
      <c r="A45" s="11">
        <v>43</v>
      </c>
      <c r="B45" s="11" t="s">
        <v>540</v>
      </c>
      <c r="C45" s="11" t="s">
        <v>799</v>
      </c>
      <c r="D45" s="11" t="s">
        <v>449</v>
      </c>
      <c r="E45" s="11" t="s">
        <v>867</v>
      </c>
    </row>
    <row r="46" spans="1:5">
      <c r="A46" s="11">
        <v>44</v>
      </c>
      <c r="B46" s="11" t="s">
        <v>540</v>
      </c>
      <c r="C46" s="11" t="s">
        <v>799</v>
      </c>
      <c r="D46" s="11" t="s">
        <v>450</v>
      </c>
      <c r="E46" s="11" t="s">
        <v>868</v>
      </c>
    </row>
    <row r="47" spans="1:5">
      <c r="A47" s="11">
        <v>45</v>
      </c>
      <c r="B47" s="11" t="s">
        <v>540</v>
      </c>
      <c r="C47" s="11" t="s">
        <v>799</v>
      </c>
      <c r="D47" s="11" t="s">
        <v>451</v>
      </c>
      <c r="E47" s="11" t="s">
        <v>869</v>
      </c>
    </row>
    <row r="48" spans="1:5">
      <c r="A48" s="11">
        <v>46</v>
      </c>
      <c r="B48" s="11" t="s">
        <v>540</v>
      </c>
      <c r="C48" s="11" t="s">
        <v>799</v>
      </c>
      <c r="D48" s="11" t="s">
        <v>452</v>
      </c>
      <c r="E48" s="11" t="s">
        <v>870</v>
      </c>
    </row>
    <row r="49" spans="1:5">
      <c r="A49" s="11">
        <v>47</v>
      </c>
      <c r="B49" s="11" t="s">
        <v>540</v>
      </c>
      <c r="C49" s="11" t="s">
        <v>799</v>
      </c>
      <c r="D49" s="11" t="s">
        <v>453</v>
      </c>
      <c r="E49" s="11" t="s">
        <v>871</v>
      </c>
    </row>
    <row r="50" spans="1:5">
      <c r="A50" s="11">
        <v>48</v>
      </c>
      <c r="B50" s="11" t="s">
        <v>541</v>
      </c>
      <c r="C50" s="11" t="s">
        <v>531</v>
      </c>
      <c r="D50" s="11" t="s">
        <v>454</v>
      </c>
      <c r="E50" s="11" t="s">
        <v>872</v>
      </c>
    </row>
    <row r="51" spans="1:5">
      <c r="A51" s="11">
        <v>49</v>
      </c>
      <c r="B51" s="11" t="s">
        <v>541</v>
      </c>
      <c r="C51" s="11" t="s">
        <v>531</v>
      </c>
      <c r="D51" s="11" t="s">
        <v>455</v>
      </c>
      <c r="E51" s="11" t="s">
        <v>873</v>
      </c>
    </row>
    <row r="52" spans="1:5">
      <c r="A52" s="11">
        <v>50</v>
      </c>
      <c r="B52" s="11" t="s">
        <v>541</v>
      </c>
      <c r="C52" s="11" t="s">
        <v>531</v>
      </c>
      <c r="D52" s="11" t="s">
        <v>456</v>
      </c>
      <c r="E52" s="11" t="s">
        <v>874</v>
      </c>
    </row>
    <row r="53" spans="1:5">
      <c r="A53" s="11">
        <v>51</v>
      </c>
      <c r="B53" s="11" t="s">
        <v>541</v>
      </c>
      <c r="C53" s="11" t="s">
        <v>531</v>
      </c>
      <c r="D53" s="11" t="s">
        <v>457</v>
      </c>
      <c r="E53" s="11" t="s">
        <v>875</v>
      </c>
    </row>
    <row r="54" spans="1:5">
      <c r="A54" s="11">
        <v>52</v>
      </c>
      <c r="B54" s="11" t="s">
        <v>541</v>
      </c>
      <c r="C54" s="11" t="s">
        <v>531</v>
      </c>
      <c r="D54" s="11" t="s">
        <v>458</v>
      </c>
      <c r="E54" s="11" t="s">
        <v>876</v>
      </c>
    </row>
    <row r="55" spans="1:5">
      <c r="A55" s="11">
        <v>53</v>
      </c>
      <c r="B55" s="11" t="s">
        <v>541</v>
      </c>
      <c r="C55" s="11" t="s">
        <v>531</v>
      </c>
      <c r="D55" s="11" t="s">
        <v>459</v>
      </c>
      <c r="E55" s="11" t="s">
        <v>877</v>
      </c>
    </row>
    <row r="56" spans="1:5">
      <c r="A56" s="11">
        <v>54</v>
      </c>
      <c r="B56" s="11" t="s">
        <v>541</v>
      </c>
      <c r="C56" s="11" t="s">
        <v>531</v>
      </c>
      <c r="D56" s="11" t="s">
        <v>460</v>
      </c>
      <c r="E56" s="11" t="s">
        <v>878</v>
      </c>
    </row>
    <row r="57" spans="1:5">
      <c r="A57" s="11">
        <v>55</v>
      </c>
      <c r="B57" s="11" t="s">
        <v>541</v>
      </c>
      <c r="C57" s="11" t="s">
        <v>531</v>
      </c>
      <c r="D57" s="11" t="s">
        <v>461</v>
      </c>
      <c r="E57" s="11" t="s">
        <v>879</v>
      </c>
    </row>
    <row r="58" spans="1:5">
      <c r="A58" s="11">
        <v>56</v>
      </c>
      <c r="B58" s="11" t="s">
        <v>542</v>
      </c>
      <c r="C58" s="11" t="s">
        <v>800</v>
      </c>
      <c r="D58" s="11" t="s">
        <v>462</v>
      </c>
      <c r="E58" s="11" t="s">
        <v>880</v>
      </c>
    </row>
    <row r="59" spans="1:5">
      <c r="A59" s="11">
        <v>57</v>
      </c>
      <c r="B59" s="11" t="s">
        <v>542</v>
      </c>
      <c r="C59" s="11" t="s">
        <v>800</v>
      </c>
      <c r="D59" s="11" t="s">
        <v>463</v>
      </c>
      <c r="E59" s="11" t="s">
        <v>881</v>
      </c>
    </row>
    <row r="60" spans="1:5">
      <c r="A60" s="11">
        <v>58</v>
      </c>
      <c r="B60" s="11" t="s">
        <v>542</v>
      </c>
      <c r="C60" s="11" t="s">
        <v>800</v>
      </c>
      <c r="D60" s="11" t="s">
        <v>464</v>
      </c>
      <c r="E60" s="11" t="s">
        <v>882</v>
      </c>
    </row>
    <row r="61" spans="1:5">
      <c r="A61" s="11">
        <v>59</v>
      </c>
      <c r="B61" s="11" t="s">
        <v>542</v>
      </c>
      <c r="C61" s="11" t="s">
        <v>800</v>
      </c>
      <c r="D61" s="11" t="s">
        <v>465</v>
      </c>
      <c r="E61" s="11" t="s">
        <v>883</v>
      </c>
    </row>
    <row r="62" spans="1:5">
      <c r="A62" s="11">
        <v>60</v>
      </c>
      <c r="B62" s="11" t="s">
        <v>542</v>
      </c>
      <c r="C62" s="11" t="s">
        <v>800</v>
      </c>
      <c r="D62" s="11" t="s">
        <v>466</v>
      </c>
      <c r="E62" s="11" t="s">
        <v>884</v>
      </c>
    </row>
    <row r="63" spans="1:5">
      <c r="A63" s="11">
        <v>61</v>
      </c>
      <c r="B63" s="11" t="s">
        <v>542</v>
      </c>
      <c r="C63" s="11" t="s">
        <v>800</v>
      </c>
      <c r="D63" s="11" t="s">
        <v>533</v>
      </c>
      <c r="E63" s="11" t="s">
        <v>885</v>
      </c>
    </row>
    <row r="64" spans="1:5">
      <c r="A64" s="11">
        <v>62</v>
      </c>
      <c r="B64" s="11" t="s">
        <v>542</v>
      </c>
      <c r="C64" s="11" t="s">
        <v>800</v>
      </c>
      <c r="D64" s="11" t="s">
        <v>467</v>
      </c>
      <c r="E64" s="11" t="s">
        <v>886</v>
      </c>
    </row>
    <row r="65" spans="1:5">
      <c r="A65" s="11">
        <v>63</v>
      </c>
      <c r="B65" s="11" t="s">
        <v>542</v>
      </c>
      <c r="C65" s="11" t="s">
        <v>800</v>
      </c>
      <c r="D65" s="11" t="s">
        <v>468</v>
      </c>
      <c r="E65" s="11" t="s">
        <v>887</v>
      </c>
    </row>
    <row r="66" spans="1:5">
      <c r="A66" s="11">
        <v>64</v>
      </c>
      <c r="B66" s="11" t="s">
        <v>543</v>
      </c>
      <c r="C66" s="11" t="s">
        <v>801</v>
      </c>
      <c r="D66" s="11" t="s">
        <v>469</v>
      </c>
      <c r="E66" s="11" t="s">
        <v>888</v>
      </c>
    </row>
    <row r="67" spans="1:5">
      <c r="A67" s="11">
        <v>65</v>
      </c>
      <c r="B67" s="11" t="s">
        <v>543</v>
      </c>
      <c r="C67" s="11" t="s">
        <v>801</v>
      </c>
      <c r="D67" s="11" t="s">
        <v>470</v>
      </c>
      <c r="E67" s="11" t="s">
        <v>889</v>
      </c>
    </row>
    <row r="68" spans="1:5">
      <c r="A68" s="11">
        <v>66</v>
      </c>
      <c r="B68" s="11" t="s">
        <v>543</v>
      </c>
      <c r="C68" s="11" t="s">
        <v>801</v>
      </c>
      <c r="D68" s="11" t="s">
        <v>471</v>
      </c>
      <c r="E68" s="11" t="s">
        <v>890</v>
      </c>
    </row>
    <row r="69" spans="1:5">
      <c r="A69" s="11">
        <v>67</v>
      </c>
      <c r="B69" s="11" t="s">
        <v>543</v>
      </c>
      <c r="C69" s="11" t="s">
        <v>801</v>
      </c>
      <c r="D69" s="11" t="s">
        <v>472</v>
      </c>
      <c r="E69" s="11" t="s">
        <v>891</v>
      </c>
    </row>
    <row r="70" spans="1:5">
      <c r="A70" s="11">
        <v>68</v>
      </c>
      <c r="B70" s="11" t="s">
        <v>543</v>
      </c>
      <c r="C70" s="11" t="s">
        <v>801</v>
      </c>
      <c r="D70" s="11" t="s">
        <v>473</v>
      </c>
      <c r="E70" s="11" t="s">
        <v>892</v>
      </c>
    </row>
    <row r="71" spans="1:5">
      <c r="A71" s="11">
        <v>69</v>
      </c>
      <c r="B71" s="11" t="s">
        <v>543</v>
      </c>
      <c r="C71" s="11" t="s">
        <v>801</v>
      </c>
      <c r="D71" s="11" t="s">
        <v>474</v>
      </c>
      <c r="E71" s="11" t="s">
        <v>893</v>
      </c>
    </row>
    <row r="72" spans="1:5">
      <c r="A72" s="11">
        <v>70</v>
      </c>
      <c r="B72" s="11" t="s">
        <v>543</v>
      </c>
      <c r="C72" s="11" t="s">
        <v>801</v>
      </c>
      <c r="D72" s="11" t="s">
        <v>475</v>
      </c>
      <c r="E72" s="11" t="s">
        <v>894</v>
      </c>
    </row>
    <row r="73" spans="1:5">
      <c r="A73" s="11">
        <v>71</v>
      </c>
      <c r="B73" s="11" t="s">
        <v>543</v>
      </c>
      <c r="C73" s="11" t="s">
        <v>801</v>
      </c>
      <c r="D73" s="11" t="s">
        <v>476</v>
      </c>
      <c r="E73" s="11" t="s">
        <v>895</v>
      </c>
    </row>
    <row r="74" spans="1:5">
      <c r="A74" s="11">
        <v>72</v>
      </c>
      <c r="B74" s="11" t="s">
        <v>544</v>
      </c>
      <c r="C74" s="11" t="s">
        <v>802</v>
      </c>
      <c r="D74" s="11" t="s">
        <v>477</v>
      </c>
      <c r="E74" s="11" t="s">
        <v>896</v>
      </c>
    </row>
    <row r="75" spans="1:5">
      <c r="A75" s="11">
        <v>73</v>
      </c>
      <c r="B75" s="11" t="s">
        <v>544</v>
      </c>
      <c r="C75" s="11" t="s">
        <v>802</v>
      </c>
      <c r="D75" s="11" t="s">
        <v>478</v>
      </c>
      <c r="E75" s="11" t="s">
        <v>897</v>
      </c>
    </row>
    <row r="76" spans="1:5">
      <c r="A76" s="11">
        <v>74</v>
      </c>
      <c r="B76" s="11" t="s">
        <v>544</v>
      </c>
      <c r="C76" s="11" t="s">
        <v>802</v>
      </c>
      <c r="D76" s="11" t="s">
        <v>479</v>
      </c>
      <c r="E76" s="11" t="s">
        <v>898</v>
      </c>
    </row>
    <row r="77" spans="1:5">
      <c r="A77" s="11">
        <v>75</v>
      </c>
      <c r="B77" s="11" t="s">
        <v>544</v>
      </c>
      <c r="C77" s="11" t="s">
        <v>802</v>
      </c>
      <c r="D77" s="11" t="s">
        <v>480</v>
      </c>
      <c r="E77" s="11" t="s">
        <v>899</v>
      </c>
    </row>
    <row r="78" spans="1:5">
      <c r="A78" s="11">
        <v>76</v>
      </c>
      <c r="B78" s="11" t="s">
        <v>544</v>
      </c>
      <c r="C78" s="11" t="s">
        <v>802</v>
      </c>
      <c r="D78" s="11" t="s">
        <v>481</v>
      </c>
      <c r="E78" s="11" t="s">
        <v>900</v>
      </c>
    </row>
    <row r="79" spans="1:5">
      <c r="A79" s="11">
        <v>77</v>
      </c>
      <c r="B79" s="11" t="s">
        <v>544</v>
      </c>
      <c r="C79" s="11" t="s">
        <v>802</v>
      </c>
      <c r="D79" s="11" t="s">
        <v>482</v>
      </c>
      <c r="E79" s="11" t="s">
        <v>901</v>
      </c>
    </row>
    <row r="80" spans="1:5">
      <c r="A80" s="11">
        <v>78</v>
      </c>
      <c r="B80" s="11" t="s">
        <v>544</v>
      </c>
      <c r="C80" s="11" t="s">
        <v>802</v>
      </c>
      <c r="D80" s="11" t="s">
        <v>483</v>
      </c>
      <c r="E80" s="11" t="s">
        <v>902</v>
      </c>
    </row>
    <row r="81" spans="1:5">
      <c r="A81" s="11">
        <v>79</v>
      </c>
      <c r="B81" s="11" t="s">
        <v>544</v>
      </c>
      <c r="C81" s="11" t="s">
        <v>802</v>
      </c>
      <c r="D81" s="11" t="s">
        <v>484</v>
      </c>
      <c r="E81" s="11" t="s">
        <v>903</v>
      </c>
    </row>
    <row r="82" spans="1:5">
      <c r="A82" s="11">
        <v>80</v>
      </c>
      <c r="B82" s="11" t="s">
        <v>545</v>
      </c>
      <c r="C82" s="11" t="s">
        <v>803</v>
      </c>
      <c r="D82" s="11" t="s">
        <v>485</v>
      </c>
      <c r="E82" s="11" t="s">
        <v>904</v>
      </c>
    </row>
    <row r="83" spans="1:5">
      <c r="A83" s="11">
        <v>81</v>
      </c>
      <c r="B83" s="11" t="s">
        <v>545</v>
      </c>
      <c r="C83" s="11" t="s">
        <v>803</v>
      </c>
      <c r="D83" s="11" t="s">
        <v>486</v>
      </c>
      <c r="E83" s="11" t="s">
        <v>905</v>
      </c>
    </row>
    <row r="84" spans="1:5">
      <c r="A84" s="11">
        <v>82</v>
      </c>
      <c r="B84" s="11" t="s">
        <v>545</v>
      </c>
      <c r="C84" s="11" t="s">
        <v>803</v>
      </c>
      <c r="D84" s="11" t="s">
        <v>487</v>
      </c>
      <c r="E84" s="11" t="s">
        <v>906</v>
      </c>
    </row>
    <row r="85" spans="1:5">
      <c r="A85" s="11">
        <v>83</v>
      </c>
      <c r="B85" s="11" t="s">
        <v>545</v>
      </c>
      <c r="C85" s="11" t="s">
        <v>803</v>
      </c>
      <c r="D85" s="11" t="s">
        <v>488</v>
      </c>
      <c r="E85" s="11" t="s">
        <v>907</v>
      </c>
    </row>
    <row r="86" spans="1:5">
      <c r="A86" s="11">
        <v>84</v>
      </c>
      <c r="B86" s="11" t="s">
        <v>545</v>
      </c>
      <c r="C86" s="11" t="s">
        <v>803</v>
      </c>
      <c r="D86" s="11" t="s">
        <v>489</v>
      </c>
      <c r="E86" s="11" t="s">
        <v>908</v>
      </c>
    </row>
    <row r="87" spans="1:5">
      <c r="A87" s="11">
        <v>85</v>
      </c>
      <c r="B87" s="11" t="s">
        <v>545</v>
      </c>
      <c r="C87" s="11" t="s">
        <v>803</v>
      </c>
      <c r="D87" s="11" t="s">
        <v>490</v>
      </c>
      <c r="E87" s="11" t="s">
        <v>909</v>
      </c>
    </row>
    <row r="88" spans="1:5">
      <c r="A88" s="11">
        <v>86</v>
      </c>
      <c r="B88" s="11" t="s">
        <v>545</v>
      </c>
      <c r="C88" s="11" t="s">
        <v>803</v>
      </c>
      <c r="D88" s="11" t="s">
        <v>491</v>
      </c>
      <c r="E88" s="11" t="s">
        <v>910</v>
      </c>
    </row>
    <row r="89" spans="1:5">
      <c r="A89" s="11">
        <v>87</v>
      </c>
      <c r="B89" s="11" t="s">
        <v>545</v>
      </c>
      <c r="C89" s="11" t="s">
        <v>803</v>
      </c>
      <c r="D89" s="11" t="s">
        <v>534</v>
      </c>
      <c r="E89" s="11" t="s">
        <v>911</v>
      </c>
    </row>
    <row r="90" spans="1:5">
      <c r="A90" s="11">
        <v>88</v>
      </c>
      <c r="B90" s="11" t="s">
        <v>546</v>
      </c>
      <c r="C90" s="11" t="s">
        <v>804</v>
      </c>
      <c r="D90" s="11" t="s">
        <v>492</v>
      </c>
      <c r="E90" s="11" t="s">
        <v>912</v>
      </c>
    </row>
    <row r="91" spans="1:5">
      <c r="A91" s="11">
        <v>89</v>
      </c>
      <c r="B91" s="11" t="s">
        <v>546</v>
      </c>
      <c r="C91" s="11" t="s">
        <v>804</v>
      </c>
      <c r="D91" s="11" t="s">
        <v>493</v>
      </c>
      <c r="E91" s="11" t="s">
        <v>913</v>
      </c>
    </row>
    <row r="92" spans="1:5">
      <c r="A92" s="11">
        <v>90</v>
      </c>
      <c r="B92" s="11" t="s">
        <v>546</v>
      </c>
      <c r="C92" s="11" t="s">
        <v>804</v>
      </c>
      <c r="D92" s="11" t="s">
        <v>494</v>
      </c>
      <c r="E92" s="11" t="s">
        <v>914</v>
      </c>
    </row>
    <row r="93" spans="1:5">
      <c r="A93" s="11">
        <v>91</v>
      </c>
      <c r="B93" s="11" t="s">
        <v>546</v>
      </c>
      <c r="C93" s="11" t="s">
        <v>804</v>
      </c>
      <c r="D93" s="11" t="s">
        <v>495</v>
      </c>
      <c r="E93" s="11" t="s">
        <v>915</v>
      </c>
    </row>
    <row r="94" spans="1:5">
      <c r="A94" s="11">
        <v>92</v>
      </c>
      <c r="B94" s="11" t="s">
        <v>546</v>
      </c>
      <c r="C94" s="11" t="s">
        <v>804</v>
      </c>
      <c r="D94" s="11" t="s">
        <v>496</v>
      </c>
      <c r="E94" s="11" t="s">
        <v>916</v>
      </c>
    </row>
    <row r="95" spans="1:5">
      <c r="A95" s="11">
        <v>93</v>
      </c>
      <c r="B95" s="11" t="s">
        <v>546</v>
      </c>
      <c r="C95" s="11" t="s">
        <v>804</v>
      </c>
      <c r="D95" s="11" t="s">
        <v>497</v>
      </c>
      <c r="E95" s="11" t="s">
        <v>917</v>
      </c>
    </row>
    <row r="96" spans="1:5">
      <c r="A96" s="11">
        <v>94</v>
      </c>
      <c r="B96" s="11" t="s">
        <v>546</v>
      </c>
      <c r="C96" s="11" t="s">
        <v>804</v>
      </c>
      <c r="D96" s="11" t="s">
        <v>498</v>
      </c>
      <c r="E96" s="11" t="s">
        <v>918</v>
      </c>
    </row>
    <row r="97" spans="1:5">
      <c r="A97" s="11">
        <v>95</v>
      </c>
      <c r="B97" s="11" t="s">
        <v>546</v>
      </c>
      <c r="C97" s="11" t="s">
        <v>804</v>
      </c>
      <c r="D97" s="11" t="s">
        <v>499</v>
      </c>
      <c r="E97" s="11" t="s">
        <v>919</v>
      </c>
    </row>
    <row r="98" spans="1:5">
      <c r="A98" s="11">
        <v>96</v>
      </c>
      <c r="B98" s="11" t="s">
        <v>547</v>
      </c>
      <c r="C98" s="11" t="s">
        <v>805</v>
      </c>
      <c r="D98" s="11" t="s">
        <v>500</v>
      </c>
      <c r="E98" s="11" t="s">
        <v>920</v>
      </c>
    </row>
    <row r="99" spans="1:5">
      <c r="A99" s="11">
        <v>97</v>
      </c>
      <c r="B99" s="11" t="s">
        <v>547</v>
      </c>
      <c r="C99" s="11" t="s">
        <v>805</v>
      </c>
      <c r="D99" s="11" t="s">
        <v>501</v>
      </c>
      <c r="E99" s="11" t="s">
        <v>921</v>
      </c>
    </row>
    <row r="100" spans="1:5">
      <c r="A100" s="11">
        <v>98</v>
      </c>
      <c r="B100" s="11" t="s">
        <v>547</v>
      </c>
      <c r="C100" s="11" t="s">
        <v>805</v>
      </c>
      <c r="D100" s="11" t="s">
        <v>502</v>
      </c>
      <c r="E100" s="11" t="s">
        <v>922</v>
      </c>
    </row>
    <row r="101" spans="1:5">
      <c r="A101" s="11">
        <v>99</v>
      </c>
      <c r="B101" s="11" t="s">
        <v>547</v>
      </c>
      <c r="C101" s="11" t="s">
        <v>805</v>
      </c>
      <c r="D101" s="11" t="s">
        <v>503</v>
      </c>
      <c r="E101" s="11" t="s">
        <v>923</v>
      </c>
    </row>
    <row r="102" spans="1:5">
      <c r="A102" s="11">
        <v>100</v>
      </c>
      <c r="B102" s="11" t="s">
        <v>547</v>
      </c>
      <c r="C102" s="11" t="s">
        <v>805</v>
      </c>
      <c r="D102" s="11" t="s">
        <v>504</v>
      </c>
      <c r="E102" s="11" t="s">
        <v>924</v>
      </c>
    </row>
    <row r="103" spans="1:5">
      <c r="A103" s="11">
        <v>101</v>
      </c>
      <c r="B103" s="11" t="s">
        <v>547</v>
      </c>
      <c r="C103" s="11" t="s">
        <v>805</v>
      </c>
      <c r="D103" s="11" t="s">
        <v>505</v>
      </c>
      <c r="E103" s="11" t="s">
        <v>925</v>
      </c>
    </row>
    <row r="104" spans="1:5">
      <c r="A104" s="11">
        <v>102</v>
      </c>
      <c r="B104" s="11" t="s">
        <v>547</v>
      </c>
      <c r="C104" s="11" t="s">
        <v>805</v>
      </c>
      <c r="D104" s="11" t="s">
        <v>506</v>
      </c>
      <c r="E104" s="11" t="s">
        <v>926</v>
      </c>
    </row>
    <row r="105" spans="1:5">
      <c r="A105" s="11">
        <v>103</v>
      </c>
      <c r="B105" s="11" t="s">
        <v>547</v>
      </c>
      <c r="C105" s="11" t="s">
        <v>805</v>
      </c>
      <c r="D105" s="11" t="s">
        <v>807</v>
      </c>
      <c r="E105" s="11" t="s">
        <v>927</v>
      </c>
    </row>
    <row r="106" spans="1:5">
      <c r="A106" s="11">
        <v>104</v>
      </c>
      <c r="B106" s="11" t="s">
        <v>548</v>
      </c>
      <c r="C106" s="11" t="s">
        <v>806</v>
      </c>
      <c r="D106" s="11" t="s">
        <v>507</v>
      </c>
      <c r="E106" s="11" t="s">
        <v>928</v>
      </c>
    </row>
    <row r="107" spans="1:5">
      <c r="A107" s="11">
        <v>105</v>
      </c>
      <c r="B107" s="11" t="s">
        <v>548</v>
      </c>
      <c r="C107" s="11" t="s">
        <v>806</v>
      </c>
      <c r="D107" s="11" t="s">
        <v>508</v>
      </c>
      <c r="E107" s="11" t="s">
        <v>929</v>
      </c>
    </row>
    <row r="108" spans="1:5">
      <c r="A108" s="11">
        <v>106</v>
      </c>
      <c r="B108" s="11" t="s">
        <v>548</v>
      </c>
      <c r="C108" s="11" t="s">
        <v>806</v>
      </c>
      <c r="D108" s="11" t="s">
        <v>509</v>
      </c>
      <c r="E108" s="11" t="s">
        <v>930</v>
      </c>
    </row>
    <row r="109" spans="1:5">
      <c r="A109" s="11">
        <v>107</v>
      </c>
      <c r="B109" s="11" t="s">
        <v>548</v>
      </c>
      <c r="C109" s="11" t="s">
        <v>806</v>
      </c>
      <c r="D109" s="11" t="s">
        <v>510</v>
      </c>
      <c r="E109" s="11" t="s">
        <v>931</v>
      </c>
    </row>
    <row r="110" spans="1:5">
      <c r="A110" s="11">
        <v>108</v>
      </c>
      <c r="B110" s="11" t="s">
        <v>548</v>
      </c>
      <c r="C110" s="11" t="s">
        <v>806</v>
      </c>
      <c r="D110" s="11" t="s">
        <v>511</v>
      </c>
      <c r="E110" s="11" t="s">
        <v>932</v>
      </c>
    </row>
    <row r="111" spans="1:5">
      <c r="A111" s="11">
        <v>109</v>
      </c>
      <c r="B111" s="11" t="s">
        <v>548</v>
      </c>
      <c r="C111" s="11" t="s">
        <v>806</v>
      </c>
      <c r="D111" s="11" t="s">
        <v>512</v>
      </c>
      <c r="E111" s="11" t="s">
        <v>933</v>
      </c>
    </row>
    <row r="112" spans="1:5">
      <c r="A112" s="11">
        <v>110</v>
      </c>
      <c r="B112" s="11" t="s">
        <v>548</v>
      </c>
      <c r="C112" s="11" t="s">
        <v>806</v>
      </c>
      <c r="D112" s="11" t="s">
        <v>513</v>
      </c>
      <c r="E112" s="11" t="s">
        <v>934</v>
      </c>
    </row>
    <row r="113" spans="1:5">
      <c r="A113" s="11">
        <v>111</v>
      </c>
      <c r="B113" s="11" t="s">
        <v>548</v>
      </c>
      <c r="C113" s="11" t="s">
        <v>806</v>
      </c>
      <c r="D113" s="11" t="s">
        <v>514</v>
      </c>
      <c r="E113" s="11" t="s">
        <v>935</v>
      </c>
    </row>
    <row r="114" spans="1:5">
      <c r="A114" s="11">
        <v>112</v>
      </c>
      <c r="B114" s="11" t="s">
        <v>549</v>
      </c>
      <c r="C114" s="11" t="s">
        <v>404</v>
      </c>
      <c r="D114" s="11" t="s">
        <v>515</v>
      </c>
      <c r="E114" s="11" t="s">
        <v>936</v>
      </c>
    </row>
    <row r="115" spans="1:5">
      <c r="A115" s="11">
        <v>113</v>
      </c>
      <c r="B115" s="11" t="s">
        <v>549</v>
      </c>
      <c r="C115" s="11" t="s">
        <v>404</v>
      </c>
      <c r="D115" s="11" t="s">
        <v>516</v>
      </c>
      <c r="E115" s="11" t="s">
        <v>937</v>
      </c>
    </row>
    <row r="116" spans="1:5">
      <c r="A116" s="11">
        <v>114</v>
      </c>
      <c r="B116" s="11" t="s">
        <v>549</v>
      </c>
      <c r="C116" s="11" t="s">
        <v>404</v>
      </c>
      <c r="D116" s="11" t="s">
        <v>517</v>
      </c>
      <c r="E116" s="11" t="s">
        <v>938</v>
      </c>
    </row>
    <row r="117" spans="1:5">
      <c r="A117" s="11">
        <v>115</v>
      </c>
      <c r="B117" s="11" t="s">
        <v>549</v>
      </c>
      <c r="C117" s="11" t="s">
        <v>404</v>
      </c>
      <c r="D117" s="11" t="s">
        <v>518</v>
      </c>
      <c r="E117" s="11" t="s">
        <v>939</v>
      </c>
    </row>
    <row r="118" spans="1:5">
      <c r="A118" s="11">
        <v>116</v>
      </c>
      <c r="B118" s="11" t="s">
        <v>549</v>
      </c>
      <c r="C118" s="11" t="s">
        <v>404</v>
      </c>
      <c r="D118" s="11" t="s">
        <v>519</v>
      </c>
      <c r="E118" s="11" t="s">
        <v>940</v>
      </c>
    </row>
    <row r="119" spans="1:5">
      <c r="A119" s="11">
        <v>117</v>
      </c>
      <c r="B119" s="11" t="s">
        <v>549</v>
      </c>
      <c r="C119" s="11" t="s">
        <v>404</v>
      </c>
      <c r="D119" s="11" t="s">
        <v>520</v>
      </c>
      <c r="E119" s="11" t="s">
        <v>941</v>
      </c>
    </row>
    <row r="120" spans="1:5">
      <c r="A120" s="11">
        <v>118</v>
      </c>
      <c r="B120" s="11" t="s">
        <v>549</v>
      </c>
      <c r="C120" s="11" t="s">
        <v>404</v>
      </c>
      <c r="D120" s="11" t="s">
        <v>521</v>
      </c>
      <c r="E120" s="11" t="s">
        <v>942</v>
      </c>
    </row>
    <row r="121" spans="1:5">
      <c r="A121" s="11">
        <v>119</v>
      </c>
      <c r="B121" s="11" t="s">
        <v>549</v>
      </c>
      <c r="C121" s="11" t="s">
        <v>404</v>
      </c>
      <c r="D121" s="11" t="s">
        <v>522</v>
      </c>
      <c r="E121" s="11" t="s">
        <v>943</v>
      </c>
    </row>
    <row r="122" spans="1:5">
      <c r="A122" s="11">
        <v>120</v>
      </c>
      <c r="B122" s="11" t="s">
        <v>550</v>
      </c>
      <c r="C122" s="11" t="s">
        <v>551</v>
      </c>
      <c r="D122" s="11" t="s">
        <v>523</v>
      </c>
      <c r="E122" s="11" t="s">
        <v>944</v>
      </c>
    </row>
    <row r="123" spans="1:5">
      <c r="A123" s="11">
        <v>121</v>
      </c>
      <c r="B123" s="11" t="s">
        <v>550</v>
      </c>
      <c r="C123" s="11" t="s">
        <v>551</v>
      </c>
      <c r="D123" s="11" t="s">
        <v>524</v>
      </c>
      <c r="E123" s="11" t="s">
        <v>945</v>
      </c>
    </row>
    <row r="124" spans="1:5">
      <c r="A124" s="11">
        <v>122</v>
      </c>
      <c r="B124" s="11" t="s">
        <v>550</v>
      </c>
      <c r="C124" s="11" t="s">
        <v>551</v>
      </c>
      <c r="D124" s="11" t="s">
        <v>525</v>
      </c>
      <c r="E124" s="11" t="s">
        <v>946</v>
      </c>
    </row>
    <row r="125" spans="1:5">
      <c r="A125" s="11">
        <v>123</v>
      </c>
      <c r="B125" s="11" t="s">
        <v>550</v>
      </c>
      <c r="C125" s="11" t="s">
        <v>551</v>
      </c>
      <c r="D125" s="11" t="s">
        <v>526</v>
      </c>
      <c r="E125" s="11" t="s">
        <v>947</v>
      </c>
    </row>
    <row r="126" spans="1:5">
      <c r="A126" s="11">
        <v>124</v>
      </c>
      <c r="B126" s="11" t="s">
        <v>550</v>
      </c>
      <c r="C126" s="11" t="s">
        <v>551</v>
      </c>
      <c r="D126" s="11" t="s">
        <v>527</v>
      </c>
      <c r="E126" s="11" t="s">
        <v>948</v>
      </c>
    </row>
    <row r="127" spans="1:5">
      <c r="A127" s="11">
        <v>125</v>
      </c>
      <c r="B127" s="11" t="s">
        <v>550</v>
      </c>
      <c r="C127" s="11" t="s">
        <v>551</v>
      </c>
      <c r="D127" s="11" t="s">
        <v>528</v>
      </c>
      <c r="E127" s="11" t="s">
        <v>949</v>
      </c>
    </row>
    <row r="128" spans="1:5">
      <c r="A128" s="11">
        <v>126</v>
      </c>
      <c r="B128" s="11" t="s">
        <v>550</v>
      </c>
      <c r="C128" s="11" t="s">
        <v>551</v>
      </c>
      <c r="D128" s="11" t="s">
        <v>529</v>
      </c>
      <c r="E128" s="11" t="s">
        <v>950</v>
      </c>
    </row>
    <row r="129" spans="1:5">
      <c r="A129" s="11">
        <v>127</v>
      </c>
      <c r="B129" s="11" t="s">
        <v>550</v>
      </c>
      <c r="C129" s="11" t="s">
        <v>551</v>
      </c>
      <c r="D129" s="11" t="s">
        <v>530</v>
      </c>
      <c r="E129" s="11" t="s">
        <v>951</v>
      </c>
    </row>
  </sheetData>
  <sortState ref="A2:E291">
    <sortCondition ref="A2:A291"/>
  </sortState>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91"/>
  <sheetViews>
    <sheetView workbookViewId="0">
      <pane ySplit="1" topLeftCell="A90" activePane="bottomLeft" state="frozen"/>
      <selection pane="bottomLeft" activeCell="C94" sqref="C94"/>
    </sheetView>
  </sheetViews>
  <sheetFormatPr defaultRowHeight="13.5"/>
  <cols>
    <col min="1" max="2" width="9.125" style="12" bestFit="1" customWidth="1"/>
    <col min="3" max="3" width="14.5" style="12" bestFit="1" customWidth="1"/>
    <col min="4" max="11" width="9.125" style="12" bestFit="1" customWidth="1"/>
    <col min="12" max="16384" width="9" style="12"/>
  </cols>
  <sheetData>
    <row r="1" spans="1:11" ht="27" thickBot="1">
      <c r="A1" s="47" t="s">
        <v>553</v>
      </c>
      <c r="B1" s="47"/>
      <c r="C1" s="47"/>
      <c r="D1" s="47"/>
      <c r="E1" s="47"/>
      <c r="F1" s="47"/>
      <c r="G1" s="47"/>
      <c r="H1" s="47"/>
      <c r="I1" s="47"/>
      <c r="J1" s="47"/>
      <c r="K1" s="47"/>
    </row>
    <row r="2" spans="1:11" ht="15" thickBot="1">
      <c r="A2" s="49" t="s">
        <v>554</v>
      </c>
      <c r="B2" s="50"/>
      <c r="C2" s="50"/>
      <c r="D2" s="50"/>
      <c r="E2" s="50"/>
      <c r="F2" s="50"/>
      <c r="G2" s="50"/>
      <c r="H2" s="50"/>
      <c r="I2" s="50"/>
      <c r="J2" s="50"/>
      <c r="K2" s="51"/>
    </row>
    <row r="3" spans="1:11" ht="28.5">
      <c r="A3" s="13" t="s">
        <v>555</v>
      </c>
      <c r="B3" s="52">
        <v>0</v>
      </c>
      <c r="C3" s="52">
        <v>1</v>
      </c>
      <c r="D3" s="52">
        <v>2</v>
      </c>
      <c r="E3" s="52">
        <v>3</v>
      </c>
      <c r="F3" s="52">
        <v>4</v>
      </c>
      <c r="G3" s="52">
        <v>5</v>
      </c>
      <c r="H3" s="52">
        <v>6</v>
      </c>
      <c r="I3" s="52">
        <v>7</v>
      </c>
      <c r="J3" s="52">
        <v>8</v>
      </c>
      <c r="K3" s="52">
        <v>9</v>
      </c>
    </row>
    <row r="4" spans="1:11" ht="15" thickBot="1">
      <c r="A4" s="14" t="s">
        <v>556</v>
      </c>
      <c r="B4" s="53"/>
      <c r="C4" s="53"/>
      <c r="D4" s="53"/>
      <c r="E4" s="53"/>
      <c r="F4" s="53"/>
      <c r="G4" s="53"/>
      <c r="H4" s="53"/>
      <c r="I4" s="53"/>
      <c r="J4" s="53"/>
      <c r="K4" s="53"/>
    </row>
    <row r="5" spans="1:11" ht="29.25" thickBot="1">
      <c r="A5" s="15" t="s">
        <v>5</v>
      </c>
      <c r="B5" s="15" t="s">
        <v>557</v>
      </c>
      <c r="C5" s="15" t="s">
        <v>558</v>
      </c>
      <c r="D5" s="15" t="s">
        <v>559</v>
      </c>
      <c r="E5" s="15" t="s">
        <v>560</v>
      </c>
      <c r="F5" s="15" t="s">
        <v>561</v>
      </c>
      <c r="G5" s="15" t="s">
        <v>562</v>
      </c>
      <c r="H5" s="15" t="s">
        <v>563</v>
      </c>
      <c r="I5" s="15" t="s">
        <v>564</v>
      </c>
      <c r="J5" s="15" t="s">
        <v>565</v>
      </c>
      <c r="K5" s="15" t="s">
        <v>566</v>
      </c>
    </row>
    <row r="6" spans="1:11" ht="29.25" thickBot="1">
      <c r="A6" s="15" t="s">
        <v>567</v>
      </c>
      <c r="B6" s="15" t="s">
        <v>568</v>
      </c>
      <c r="C6" s="15" t="s">
        <v>569</v>
      </c>
      <c r="D6" s="15" t="s">
        <v>570</v>
      </c>
      <c r="E6" s="15" t="s">
        <v>571</v>
      </c>
      <c r="F6" s="15" t="s">
        <v>572</v>
      </c>
      <c r="G6" s="15" t="s">
        <v>573</v>
      </c>
      <c r="H6" s="15" t="s">
        <v>574</v>
      </c>
      <c r="I6" s="15" t="s">
        <v>575</v>
      </c>
      <c r="J6" s="15" t="s">
        <v>576</v>
      </c>
      <c r="K6" s="15" t="s">
        <v>577</v>
      </c>
    </row>
    <row r="7" spans="1:11" ht="29.25" thickBot="1">
      <c r="A7" s="15" t="s">
        <v>7</v>
      </c>
      <c r="B7" s="15" t="s">
        <v>578</v>
      </c>
      <c r="C7" s="15" t="s">
        <v>579</v>
      </c>
      <c r="D7" s="15" t="s">
        <v>580</v>
      </c>
      <c r="E7" s="15" t="s">
        <v>581</v>
      </c>
      <c r="F7" s="15" t="s">
        <v>582</v>
      </c>
      <c r="G7" s="15" t="s">
        <v>583</v>
      </c>
      <c r="H7" s="15" t="s">
        <v>584</v>
      </c>
      <c r="I7" s="15" t="s">
        <v>585</v>
      </c>
      <c r="J7" s="15" t="s">
        <v>586</v>
      </c>
      <c r="K7" s="15" t="s">
        <v>587</v>
      </c>
    </row>
    <row r="8" spans="1:11" ht="29.25" thickBot="1">
      <c r="A8" s="15" t="s">
        <v>588</v>
      </c>
      <c r="B8" s="15" t="s">
        <v>589</v>
      </c>
      <c r="C8" s="15" t="s">
        <v>590</v>
      </c>
      <c r="D8" s="15" t="s">
        <v>591</v>
      </c>
      <c r="E8" s="15" t="s">
        <v>592</v>
      </c>
      <c r="F8" s="15" t="s">
        <v>593</v>
      </c>
      <c r="G8" s="15" t="s">
        <v>594</v>
      </c>
      <c r="H8" s="15" t="s">
        <v>595</v>
      </c>
      <c r="I8" s="15" t="s">
        <v>596</v>
      </c>
      <c r="J8" s="15" t="s">
        <v>597</v>
      </c>
      <c r="K8" s="15" t="s">
        <v>598</v>
      </c>
    </row>
    <row r="9" spans="1:11" ht="29.25" thickBot="1">
      <c r="A9" s="15" t="s">
        <v>9</v>
      </c>
      <c r="B9" s="15" t="s">
        <v>599</v>
      </c>
      <c r="C9" s="15" t="s">
        <v>600</v>
      </c>
      <c r="D9" s="15" t="s">
        <v>601</v>
      </c>
      <c r="E9" s="15" t="s">
        <v>602</v>
      </c>
      <c r="F9" s="15" t="s">
        <v>603</v>
      </c>
      <c r="G9" s="15" t="s">
        <v>604</v>
      </c>
      <c r="H9" s="15" t="s">
        <v>605</v>
      </c>
      <c r="I9" s="15" t="s">
        <v>606</v>
      </c>
      <c r="J9" s="15" t="s">
        <v>607</v>
      </c>
      <c r="K9" s="15" t="s">
        <v>608</v>
      </c>
    </row>
    <row r="10" spans="1:11" ht="29.25" thickBot="1">
      <c r="A10" s="15" t="s">
        <v>10</v>
      </c>
      <c r="B10" s="15" t="s">
        <v>609</v>
      </c>
      <c r="C10" s="15" t="s">
        <v>610</v>
      </c>
      <c r="D10" s="15" t="s">
        <v>611</v>
      </c>
      <c r="E10" s="15" t="s">
        <v>612</v>
      </c>
      <c r="F10" s="15" t="s">
        <v>613</v>
      </c>
      <c r="G10" s="15" t="s">
        <v>614</v>
      </c>
      <c r="H10" s="15" t="s">
        <v>615</v>
      </c>
      <c r="I10" s="15" t="s">
        <v>616</v>
      </c>
      <c r="J10" s="15" t="s">
        <v>617</v>
      </c>
      <c r="K10" s="15" t="s">
        <v>618</v>
      </c>
    </row>
    <row r="11" spans="1:11" ht="29.25" thickBot="1">
      <c r="A11" s="15" t="s">
        <v>619</v>
      </c>
      <c r="B11" s="15" t="s">
        <v>620</v>
      </c>
      <c r="C11" s="15" t="s">
        <v>621</v>
      </c>
      <c r="D11" s="15" t="s">
        <v>622</v>
      </c>
      <c r="E11" s="15" t="s">
        <v>623</v>
      </c>
      <c r="F11" s="15" t="s">
        <v>624</v>
      </c>
      <c r="G11" s="15" t="s">
        <v>625</v>
      </c>
      <c r="H11" s="15" t="s">
        <v>626</v>
      </c>
      <c r="I11" s="15" t="s">
        <v>627</v>
      </c>
      <c r="J11" s="15" t="s">
        <v>628</v>
      </c>
      <c r="K11" s="15" t="s">
        <v>629</v>
      </c>
    </row>
    <row r="12" spans="1:11" ht="29.25" thickBot="1">
      <c r="A12" s="15" t="s">
        <v>12</v>
      </c>
      <c r="B12" s="15" t="s">
        <v>630</v>
      </c>
      <c r="C12" s="15" t="s">
        <v>631</v>
      </c>
      <c r="D12" s="15" t="s">
        <v>632</v>
      </c>
      <c r="E12" s="15" t="s">
        <v>633</v>
      </c>
      <c r="F12" s="15" t="s">
        <v>634</v>
      </c>
      <c r="G12" s="15" t="s">
        <v>635</v>
      </c>
      <c r="H12" s="15" t="s">
        <v>636</v>
      </c>
      <c r="I12" s="15" t="s">
        <v>637</v>
      </c>
      <c r="J12" s="15" t="s">
        <v>638</v>
      </c>
      <c r="K12" s="15" t="s">
        <v>639</v>
      </c>
    </row>
    <row r="13" spans="1:11" ht="29.25" thickBot="1">
      <c r="A13" s="15" t="s">
        <v>640</v>
      </c>
      <c r="B13" s="15" t="s">
        <v>641</v>
      </c>
      <c r="C13" s="15" t="s">
        <v>642</v>
      </c>
      <c r="D13" s="15" t="s">
        <v>643</v>
      </c>
      <c r="E13" s="15" t="s">
        <v>644</v>
      </c>
      <c r="F13" s="15" t="s">
        <v>645</v>
      </c>
      <c r="G13" s="15" t="s">
        <v>646</v>
      </c>
      <c r="H13" s="15" t="s">
        <v>647</v>
      </c>
      <c r="I13" s="15" t="s">
        <v>648</v>
      </c>
      <c r="J13" s="15" t="s">
        <v>649</v>
      </c>
      <c r="K13" s="15" t="s">
        <v>650</v>
      </c>
    </row>
    <row r="14" spans="1:11" ht="29.25" thickBot="1">
      <c r="A14" s="15" t="s">
        <v>14</v>
      </c>
      <c r="B14" s="15" t="s">
        <v>651</v>
      </c>
      <c r="C14" s="15" t="s">
        <v>652</v>
      </c>
      <c r="D14" s="15" t="s">
        <v>653</v>
      </c>
      <c r="E14" s="15" t="s">
        <v>654</v>
      </c>
      <c r="F14" s="15" t="s">
        <v>655</v>
      </c>
      <c r="G14" s="15" t="s">
        <v>656</v>
      </c>
      <c r="H14" s="15" t="s">
        <v>657</v>
      </c>
      <c r="I14" s="15" t="s">
        <v>658</v>
      </c>
      <c r="J14" s="15" t="s">
        <v>659</v>
      </c>
      <c r="K14" s="15" t="s">
        <v>660</v>
      </c>
    </row>
    <row r="15" spans="1:11" ht="29.25" thickBot="1">
      <c r="A15" s="15" t="s">
        <v>661</v>
      </c>
      <c r="B15" s="15" t="s">
        <v>662</v>
      </c>
      <c r="C15" s="15" t="s">
        <v>663</v>
      </c>
      <c r="D15" s="15" t="s">
        <v>664</v>
      </c>
      <c r="E15" s="15" t="s">
        <v>665</v>
      </c>
      <c r="F15" s="15" t="s">
        <v>666</v>
      </c>
      <c r="G15" s="15" t="s">
        <v>667</v>
      </c>
      <c r="H15" s="15" t="s">
        <v>668</v>
      </c>
      <c r="I15" s="15" t="s">
        <v>669</v>
      </c>
      <c r="J15" s="15" t="s">
        <v>670</v>
      </c>
      <c r="K15" s="15" t="s">
        <v>671</v>
      </c>
    </row>
    <row r="16" spans="1:11" ht="29.25" thickBot="1">
      <c r="A16" s="15" t="s">
        <v>18</v>
      </c>
      <c r="B16" s="15" t="s">
        <v>672</v>
      </c>
      <c r="C16" s="15" t="s">
        <v>673</v>
      </c>
      <c r="D16" s="15" t="s">
        <v>674</v>
      </c>
      <c r="E16" s="15" t="s">
        <v>675</v>
      </c>
      <c r="F16" s="15" t="s">
        <v>676</v>
      </c>
      <c r="G16" s="15" t="s">
        <v>677</v>
      </c>
      <c r="H16" s="15" t="s">
        <v>678</v>
      </c>
      <c r="I16" s="15" t="s">
        <v>679</v>
      </c>
      <c r="J16" s="15" t="s">
        <v>680</v>
      </c>
      <c r="K16" s="15" t="s">
        <v>681</v>
      </c>
    </row>
    <row r="17" spans="1:11" ht="14.25">
      <c r="A17" s="48" t="s">
        <v>682</v>
      </c>
      <c r="B17" s="48"/>
      <c r="C17" s="48"/>
      <c r="D17" s="48"/>
      <c r="E17" s="48"/>
      <c r="F17" s="48"/>
      <c r="G17" s="48"/>
      <c r="H17" s="48"/>
      <c r="I17" s="48"/>
      <c r="J17" s="48"/>
      <c r="K17" s="48"/>
    </row>
    <row r="18" spans="1:11" ht="51.75" customHeight="1">
      <c r="A18" s="46" t="s">
        <v>683</v>
      </c>
      <c r="B18" s="46"/>
      <c r="C18" s="46"/>
      <c r="D18" s="46"/>
      <c r="E18" s="46"/>
      <c r="F18" s="46"/>
      <c r="G18" s="46"/>
      <c r="H18" s="46"/>
      <c r="I18" s="46"/>
      <c r="J18" s="46"/>
      <c r="K18" s="46"/>
    </row>
    <row r="19" spans="1:11" ht="51.75" customHeight="1">
      <c r="A19" s="46" t="s">
        <v>684</v>
      </c>
      <c r="B19" s="46"/>
      <c r="C19" s="46"/>
      <c r="D19" s="46"/>
      <c r="E19" s="46"/>
      <c r="F19" s="46"/>
      <c r="G19" s="46"/>
      <c r="H19" s="46"/>
      <c r="I19" s="46"/>
      <c r="J19" s="46"/>
      <c r="K19" s="46"/>
    </row>
    <row r="20" spans="1:11" ht="42" customHeight="1">
      <c r="A20" s="46" t="s">
        <v>685</v>
      </c>
      <c r="B20" s="46"/>
      <c r="C20" s="46"/>
      <c r="D20" s="46"/>
      <c r="E20" s="46"/>
      <c r="F20" s="46"/>
      <c r="G20" s="46"/>
      <c r="H20" s="46"/>
      <c r="I20" s="46"/>
      <c r="J20" s="46"/>
      <c r="K20" s="46"/>
    </row>
    <row r="21" spans="1:11" ht="37.5" customHeight="1">
      <c r="A21" s="46" t="s">
        <v>686</v>
      </c>
      <c r="B21" s="46"/>
      <c r="C21" s="46"/>
      <c r="D21" s="46"/>
      <c r="E21" s="46"/>
      <c r="F21" s="46"/>
      <c r="G21" s="46"/>
      <c r="H21" s="46"/>
      <c r="I21" s="46"/>
      <c r="J21" s="46"/>
      <c r="K21" s="46"/>
    </row>
    <row r="22" spans="1:11" ht="44.25" customHeight="1">
      <c r="A22" s="46" t="s">
        <v>687</v>
      </c>
      <c r="B22" s="46"/>
      <c r="C22" s="46"/>
      <c r="D22" s="46"/>
      <c r="E22" s="46"/>
      <c r="F22" s="46"/>
      <c r="G22" s="46"/>
      <c r="H22" s="46"/>
      <c r="I22" s="46"/>
      <c r="J22" s="46"/>
      <c r="K22" s="46"/>
    </row>
    <row r="23" spans="1:11" ht="45.75" customHeight="1">
      <c r="A23" s="46" t="s">
        <v>688</v>
      </c>
      <c r="B23" s="46"/>
      <c r="C23" s="46"/>
      <c r="D23" s="46"/>
      <c r="E23" s="46"/>
      <c r="F23" s="46"/>
      <c r="G23" s="46"/>
      <c r="H23" s="46"/>
      <c r="I23" s="46"/>
      <c r="J23" s="46"/>
      <c r="K23" s="46"/>
    </row>
    <row r="24" spans="1:11" ht="31.5" customHeight="1">
      <c r="A24" s="46" t="s">
        <v>689</v>
      </c>
      <c r="B24" s="46"/>
      <c r="C24" s="46"/>
      <c r="D24" s="46"/>
      <c r="E24" s="46"/>
      <c r="F24" s="46"/>
      <c r="G24" s="46"/>
      <c r="H24" s="46"/>
      <c r="I24" s="46"/>
      <c r="J24" s="46"/>
      <c r="K24" s="46"/>
    </row>
    <row r="25" spans="1:11" ht="51" customHeight="1">
      <c r="A25" s="46" t="s">
        <v>723</v>
      </c>
      <c r="B25" s="46"/>
      <c r="C25" s="46"/>
      <c r="D25" s="46"/>
      <c r="E25" s="46"/>
      <c r="F25" s="46"/>
      <c r="G25" s="46"/>
      <c r="H25" s="46"/>
      <c r="I25" s="46"/>
      <c r="J25" s="46"/>
      <c r="K25" s="46"/>
    </row>
    <row r="26" spans="1:11">
      <c r="A26" s="16"/>
      <c r="B26" s="7"/>
      <c r="C26" s="7"/>
      <c r="D26" s="7"/>
      <c r="E26" s="7"/>
      <c r="F26" s="7"/>
      <c r="G26" s="7"/>
      <c r="H26" s="7"/>
      <c r="I26" s="7"/>
      <c r="J26" s="7"/>
      <c r="K26" s="7"/>
    </row>
    <row r="27" spans="1:11">
      <c r="A27" s="7"/>
    </row>
    <row r="28" spans="1:11">
      <c r="A28" s="7"/>
    </row>
    <row r="29" spans="1:11">
      <c r="A29" s="7"/>
    </row>
    <row r="31" spans="1:11" ht="47.25" customHeight="1" thickBot="1">
      <c r="A31" s="46" t="s">
        <v>690</v>
      </c>
      <c r="B31" s="46"/>
      <c r="C31" s="46"/>
      <c r="D31" s="46"/>
      <c r="E31" s="46"/>
      <c r="F31" s="46"/>
      <c r="G31" s="46"/>
      <c r="H31" s="46"/>
      <c r="I31" s="46"/>
      <c r="J31" s="46"/>
      <c r="K31" s="46"/>
    </row>
    <row r="32" spans="1:11" ht="29.25" thickBot="1">
      <c r="A32" s="15" t="s">
        <v>691</v>
      </c>
      <c r="B32" s="15" t="s">
        <v>692</v>
      </c>
      <c r="C32" s="15" t="s">
        <v>693</v>
      </c>
    </row>
    <row r="33" spans="1:11" ht="57.75" thickBot="1">
      <c r="A33" s="15" t="s">
        <v>65</v>
      </c>
      <c r="B33" s="15" t="s">
        <v>694</v>
      </c>
      <c r="C33" s="15" t="s">
        <v>724</v>
      </c>
    </row>
    <row r="34" spans="1:11" ht="43.5" thickBot="1">
      <c r="A34" s="15" t="s">
        <v>69</v>
      </c>
      <c r="B34" s="15" t="s">
        <v>695</v>
      </c>
      <c r="C34" s="15" t="s">
        <v>725</v>
      </c>
    </row>
    <row r="35" spans="1:11" ht="43.5" thickBot="1">
      <c r="A35" s="15" t="s">
        <v>72</v>
      </c>
      <c r="B35" s="15" t="s">
        <v>696</v>
      </c>
      <c r="C35" s="15" t="s">
        <v>726</v>
      </c>
    </row>
    <row r="36" spans="1:11" ht="43.5" thickBot="1">
      <c r="A36" s="15" t="s">
        <v>75</v>
      </c>
      <c r="B36" s="15" t="s">
        <v>697</v>
      </c>
      <c r="C36" s="15" t="s">
        <v>727</v>
      </c>
    </row>
    <row r="37" spans="1:11" ht="43.5" thickBot="1">
      <c r="A37" s="15" t="s">
        <v>78</v>
      </c>
      <c r="B37" s="15" t="s">
        <v>698</v>
      </c>
      <c r="C37" s="15" t="s">
        <v>728</v>
      </c>
    </row>
    <row r="38" spans="1:11" ht="57.75" thickBot="1">
      <c r="A38" s="15" t="s">
        <v>81</v>
      </c>
      <c r="B38" s="15" t="s">
        <v>699</v>
      </c>
      <c r="C38" s="15" t="s">
        <v>729</v>
      </c>
    </row>
    <row r="39" spans="1:11" ht="71.25">
      <c r="A39" s="13" t="s">
        <v>84</v>
      </c>
      <c r="B39" s="13" t="s">
        <v>700</v>
      </c>
      <c r="C39" s="13" t="s">
        <v>702</v>
      </c>
    </row>
    <row r="40" spans="1:11" ht="57.75" thickBot="1">
      <c r="A40" s="14"/>
      <c r="B40" s="14" t="s">
        <v>701</v>
      </c>
      <c r="C40" s="14" t="s">
        <v>730</v>
      </c>
    </row>
    <row r="41" spans="1:11" ht="57.75" thickBot="1">
      <c r="A41" s="15" t="s">
        <v>87</v>
      </c>
      <c r="B41" s="15" t="s">
        <v>703</v>
      </c>
      <c r="C41" s="15" t="s">
        <v>731</v>
      </c>
    </row>
    <row r="42" spans="1:11" ht="43.5" thickBot="1">
      <c r="A42" s="15" t="s">
        <v>90</v>
      </c>
      <c r="B42" s="15" t="s">
        <v>704</v>
      </c>
      <c r="C42" s="15" t="s">
        <v>732</v>
      </c>
    </row>
    <row r="43" spans="1:11" ht="43.5" thickBot="1">
      <c r="A43" s="15" t="s">
        <v>93</v>
      </c>
      <c r="B43" s="15" t="s">
        <v>705</v>
      </c>
      <c r="C43" s="15" t="s">
        <v>733</v>
      </c>
    </row>
    <row r="44" spans="1:11" ht="43.5" thickBot="1">
      <c r="A44" s="15" t="s">
        <v>96</v>
      </c>
      <c r="B44" s="15" t="s">
        <v>706</v>
      </c>
      <c r="C44" s="15" t="s">
        <v>734</v>
      </c>
    </row>
    <row r="45" spans="1:11" ht="43.5" thickBot="1">
      <c r="A45" s="15" t="s">
        <v>98</v>
      </c>
      <c r="B45" s="15" t="s">
        <v>707</v>
      </c>
      <c r="C45" s="15" t="s">
        <v>735</v>
      </c>
    </row>
    <row r="46" spans="1:11" ht="57.75" thickBot="1">
      <c r="A46" s="15" t="s">
        <v>100</v>
      </c>
      <c r="B46" s="15" t="s">
        <v>708</v>
      </c>
      <c r="C46" s="15" t="s">
        <v>736</v>
      </c>
    </row>
    <row r="47" spans="1:11" ht="36" customHeight="1">
      <c r="A47" s="46" t="s">
        <v>709</v>
      </c>
      <c r="B47" s="46"/>
      <c r="C47" s="46"/>
      <c r="D47" s="46"/>
      <c r="E47" s="46"/>
      <c r="F47" s="46"/>
      <c r="G47" s="46"/>
      <c r="H47" s="46"/>
      <c r="I47" s="46"/>
      <c r="J47" s="46"/>
      <c r="K47" s="46"/>
    </row>
    <row r="48" spans="1:11" ht="51" customHeight="1">
      <c r="A48" s="46" t="s">
        <v>710</v>
      </c>
      <c r="B48" s="46"/>
      <c r="C48" s="46"/>
      <c r="D48" s="46"/>
      <c r="E48" s="46"/>
      <c r="F48" s="46"/>
      <c r="G48" s="46"/>
      <c r="H48" s="46"/>
      <c r="I48" s="46"/>
      <c r="J48" s="46"/>
      <c r="K48" s="46"/>
    </row>
    <row r="49" spans="1:11" ht="37.5" customHeight="1">
      <c r="A49" s="46" t="s">
        <v>711</v>
      </c>
      <c r="B49" s="46"/>
      <c r="C49" s="46"/>
      <c r="D49" s="46"/>
      <c r="E49" s="46"/>
      <c r="F49" s="46"/>
      <c r="G49" s="46"/>
      <c r="H49" s="46"/>
      <c r="I49" s="46"/>
      <c r="J49" s="46"/>
      <c r="K49" s="46"/>
    </row>
    <row r="50" spans="1:11" ht="42.75" customHeight="1">
      <c r="A50" s="46" t="s">
        <v>712</v>
      </c>
      <c r="B50" s="46"/>
      <c r="C50" s="46"/>
      <c r="D50" s="46"/>
      <c r="E50" s="46"/>
      <c r="F50" s="46"/>
      <c r="G50" s="46"/>
      <c r="H50" s="46"/>
      <c r="I50" s="46"/>
      <c r="J50" s="46"/>
      <c r="K50" s="46"/>
    </row>
    <row r="51" spans="1:11" ht="45" customHeight="1">
      <c r="A51" s="46" t="s">
        <v>737</v>
      </c>
      <c r="B51" s="46"/>
      <c r="C51" s="46"/>
      <c r="D51" s="46"/>
      <c r="E51" s="46"/>
      <c r="F51" s="46"/>
      <c r="G51" s="46"/>
      <c r="H51" s="46"/>
      <c r="I51" s="46"/>
      <c r="J51" s="46"/>
      <c r="K51" s="46"/>
    </row>
    <row r="53" spans="1:11" ht="77.25" customHeight="1">
      <c r="A53" s="46" t="s">
        <v>738</v>
      </c>
      <c r="B53" s="46"/>
      <c r="C53" s="46"/>
      <c r="D53" s="46"/>
      <c r="E53" s="46"/>
      <c r="F53" s="46"/>
      <c r="G53" s="46"/>
      <c r="H53" s="46"/>
      <c r="I53" s="46"/>
      <c r="J53" s="46"/>
      <c r="K53" s="46"/>
    </row>
    <row r="54" spans="1:11" ht="24" customHeight="1">
      <c r="A54" s="46" t="s">
        <v>739</v>
      </c>
      <c r="B54" s="46"/>
      <c r="C54" s="46"/>
      <c r="D54" s="46"/>
      <c r="E54" s="46"/>
      <c r="F54" s="46"/>
      <c r="G54" s="46"/>
      <c r="H54" s="46"/>
      <c r="I54" s="46"/>
      <c r="J54" s="46"/>
      <c r="K54" s="46"/>
    </row>
    <row r="55" spans="1:11" ht="24" customHeight="1">
      <c r="A55" s="46" t="s">
        <v>740</v>
      </c>
      <c r="B55" s="46"/>
      <c r="C55" s="46"/>
      <c r="D55" s="46"/>
      <c r="E55" s="46"/>
      <c r="F55" s="46"/>
      <c r="G55" s="46"/>
      <c r="H55" s="46"/>
      <c r="I55" s="46"/>
      <c r="J55" s="46"/>
      <c r="K55" s="46"/>
    </row>
    <row r="56" spans="1:11" ht="24" customHeight="1">
      <c r="A56" s="46" t="s">
        <v>741</v>
      </c>
      <c r="B56" s="46"/>
      <c r="C56" s="46"/>
      <c r="D56" s="46"/>
      <c r="E56" s="46"/>
      <c r="F56" s="46"/>
      <c r="G56" s="46"/>
      <c r="H56" s="46"/>
      <c r="I56" s="46"/>
      <c r="J56" s="46"/>
      <c r="K56" s="46"/>
    </row>
    <row r="57" spans="1:11" ht="24" customHeight="1">
      <c r="A57" s="46" t="s">
        <v>742</v>
      </c>
      <c r="B57" s="46"/>
      <c r="C57" s="46"/>
      <c r="D57" s="46"/>
      <c r="E57" s="46"/>
      <c r="F57" s="46"/>
      <c r="G57" s="46"/>
      <c r="H57" s="46"/>
      <c r="I57" s="46"/>
      <c r="J57" s="46"/>
      <c r="K57" s="46"/>
    </row>
    <row r="58" spans="1:11" ht="24" customHeight="1">
      <c r="A58" s="46" t="s">
        <v>743</v>
      </c>
      <c r="B58" s="46"/>
      <c r="C58" s="46"/>
      <c r="D58" s="46"/>
      <c r="E58" s="46"/>
      <c r="F58" s="46"/>
      <c r="G58" s="46"/>
      <c r="H58" s="46"/>
      <c r="I58" s="46"/>
      <c r="J58" s="46"/>
      <c r="K58" s="46"/>
    </row>
    <row r="59" spans="1:11" ht="24" customHeight="1">
      <c r="A59" s="46" t="s">
        <v>744</v>
      </c>
      <c r="B59" s="46"/>
      <c r="C59" s="46"/>
      <c r="D59" s="46"/>
      <c r="E59" s="46"/>
      <c r="F59" s="46"/>
      <c r="G59" s="46"/>
      <c r="H59" s="46"/>
      <c r="I59" s="46"/>
      <c r="J59" s="46"/>
      <c r="K59" s="46"/>
    </row>
    <row r="60" spans="1:11" ht="24" customHeight="1">
      <c r="A60" s="46" t="s">
        <v>745</v>
      </c>
      <c r="B60" s="46"/>
      <c r="C60" s="46"/>
      <c r="D60" s="46"/>
      <c r="E60" s="46"/>
      <c r="F60" s="46"/>
      <c r="G60" s="46"/>
      <c r="H60" s="46"/>
      <c r="I60" s="46"/>
      <c r="J60" s="46"/>
      <c r="K60" s="46"/>
    </row>
    <row r="61" spans="1:11" ht="24" customHeight="1">
      <c r="A61" s="46" t="s">
        <v>746</v>
      </c>
      <c r="B61" s="46"/>
      <c r="C61" s="46"/>
      <c r="D61" s="46"/>
      <c r="E61" s="46"/>
      <c r="F61" s="46"/>
      <c r="G61" s="46"/>
      <c r="H61" s="46"/>
      <c r="I61" s="46"/>
      <c r="J61" s="46"/>
      <c r="K61" s="46"/>
    </row>
    <row r="62" spans="1:11" ht="87.75" customHeight="1">
      <c r="A62" s="46" t="s">
        <v>747</v>
      </c>
      <c r="B62" s="46"/>
      <c r="C62" s="46"/>
      <c r="D62" s="46"/>
      <c r="E62" s="46"/>
      <c r="F62" s="46"/>
      <c r="G62" s="46"/>
      <c r="H62" s="46"/>
      <c r="I62" s="46"/>
      <c r="J62" s="46"/>
      <c r="K62" s="46"/>
    </row>
    <row r="63" spans="1:11" ht="87.75" customHeight="1" thickBot="1">
      <c r="A63" s="46" t="s">
        <v>748</v>
      </c>
      <c r="B63" s="46"/>
      <c r="C63" s="46"/>
      <c r="D63" s="46"/>
      <c r="E63" s="46"/>
      <c r="F63" s="46"/>
      <c r="G63" s="46"/>
      <c r="H63" s="46"/>
      <c r="I63" s="46"/>
      <c r="J63" s="46"/>
      <c r="K63" s="46"/>
    </row>
    <row r="64" spans="1:11" ht="15" thickBot="1">
      <c r="A64" s="15" t="s">
        <v>755</v>
      </c>
      <c r="B64" s="15" t="s">
        <v>713</v>
      </c>
      <c r="C64" s="15" t="s">
        <v>714</v>
      </c>
    </row>
    <row r="65" spans="1:11" ht="15" thickBot="1">
      <c r="A65" s="15" t="s">
        <v>715</v>
      </c>
      <c r="B65" s="15">
        <v>1</v>
      </c>
      <c r="C65" s="15">
        <v>1</v>
      </c>
    </row>
    <row r="66" spans="1:11" ht="15" thickBot="1">
      <c r="A66" s="15" t="s">
        <v>716</v>
      </c>
      <c r="B66" s="15">
        <v>1.125</v>
      </c>
      <c r="C66" s="15">
        <v>1.1225000000000001</v>
      </c>
    </row>
    <row r="67" spans="1:11" ht="15" thickBot="1">
      <c r="A67" s="15" t="s">
        <v>717</v>
      </c>
      <c r="B67" s="15">
        <v>1.2656000000000001</v>
      </c>
      <c r="C67" s="15">
        <v>1.2599</v>
      </c>
    </row>
    <row r="68" spans="1:11" ht="15" thickBot="1">
      <c r="A68" s="15" t="s">
        <v>718</v>
      </c>
      <c r="B68" s="15">
        <v>1.3332999999999999</v>
      </c>
      <c r="C68" s="15">
        <v>1.3348</v>
      </c>
    </row>
    <row r="69" spans="1:11" ht="15" thickBot="1">
      <c r="A69" s="15" t="s">
        <v>719</v>
      </c>
      <c r="B69" s="15">
        <v>1.5</v>
      </c>
      <c r="C69" s="15">
        <v>1.4983</v>
      </c>
    </row>
    <row r="70" spans="1:11" ht="15" thickBot="1">
      <c r="A70" s="15" t="s">
        <v>720</v>
      </c>
      <c r="B70" s="15">
        <v>1.6875</v>
      </c>
      <c r="C70" s="15">
        <v>1.6818</v>
      </c>
    </row>
    <row r="71" spans="1:11" ht="15" thickBot="1">
      <c r="A71" s="15" t="s">
        <v>721</v>
      </c>
      <c r="B71" s="15">
        <v>1.8984000000000001</v>
      </c>
      <c r="C71" s="15">
        <v>1.8876999999999999</v>
      </c>
    </row>
    <row r="72" spans="1:11" ht="15" thickBot="1">
      <c r="A72" s="15" t="s">
        <v>722</v>
      </c>
      <c r="B72" s="15">
        <v>2</v>
      </c>
      <c r="C72" s="15">
        <v>2</v>
      </c>
    </row>
    <row r="73" spans="1:11" ht="72.75" customHeight="1">
      <c r="A73" s="46" t="s">
        <v>749</v>
      </c>
      <c r="B73" s="46"/>
      <c r="C73" s="46"/>
      <c r="D73" s="46"/>
      <c r="E73" s="46"/>
      <c r="F73" s="46"/>
      <c r="G73" s="46"/>
      <c r="H73" s="46"/>
      <c r="I73" s="46"/>
      <c r="J73" s="46"/>
      <c r="K73" s="46"/>
    </row>
    <row r="74" spans="1:11" ht="105.75" customHeight="1">
      <c r="A74" s="46" t="s">
        <v>750</v>
      </c>
      <c r="B74" s="46"/>
      <c r="C74" s="46"/>
      <c r="D74" s="46"/>
      <c r="E74" s="46"/>
      <c r="F74" s="46"/>
      <c r="G74" s="46"/>
      <c r="H74" s="46"/>
      <c r="I74" s="46"/>
      <c r="J74" s="46"/>
      <c r="K74" s="46"/>
    </row>
    <row r="75" spans="1:11" ht="56.25" customHeight="1">
      <c r="A75" s="46" t="s">
        <v>751</v>
      </c>
      <c r="B75" s="46"/>
      <c r="C75" s="46"/>
      <c r="D75" s="46"/>
      <c r="E75" s="46"/>
      <c r="F75" s="46"/>
      <c r="G75" s="46"/>
      <c r="H75" s="46"/>
      <c r="I75" s="46"/>
      <c r="J75" s="46"/>
      <c r="K75" s="46"/>
    </row>
    <row r="76" spans="1:11" ht="30" customHeight="1">
      <c r="A76" s="46" t="s">
        <v>752</v>
      </c>
      <c r="B76" s="46"/>
      <c r="C76" s="46"/>
      <c r="D76" s="46"/>
      <c r="E76" s="46"/>
      <c r="F76" s="46"/>
      <c r="G76" s="46"/>
      <c r="H76" s="46"/>
      <c r="I76" s="46"/>
      <c r="J76" s="46"/>
      <c r="K76" s="46"/>
    </row>
    <row r="77" spans="1:11" ht="98.25" customHeight="1">
      <c r="A77" s="46" t="s">
        <v>753</v>
      </c>
      <c r="B77" s="46"/>
      <c r="C77" s="46"/>
      <c r="D77" s="46"/>
      <c r="E77" s="46"/>
      <c r="F77" s="46"/>
      <c r="G77" s="46"/>
      <c r="H77" s="46"/>
      <c r="I77" s="46"/>
      <c r="J77" s="46"/>
      <c r="K77" s="46"/>
    </row>
    <row r="78" spans="1:11" ht="88.5" customHeight="1">
      <c r="A78" s="46" t="s">
        <v>754</v>
      </c>
      <c r="B78" s="46"/>
      <c r="C78" s="46"/>
      <c r="D78" s="46"/>
      <c r="E78" s="46"/>
      <c r="F78" s="46"/>
      <c r="G78" s="46"/>
      <c r="H78" s="46"/>
      <c r="I78" s="46"/>
      <c r="J78" s="46"/>
      <c r="K78" s="46"/>
    </row>
    <row r="79" spans="1:11" ht="67.5" customHeight="1">
      <c r="A79" s="46" t="s">
        <v>756</v>
      </c>
      <c r="B79" s="46"/>
      <c r="C79" s="46"/>
      <c r="D79" s="46"/>
      <c r="E79" s="46"/>
      <c r="F79" s="46"/>
      <c r="G79" s="46"/>
      <c r="H79" s="46"/>
      <c r="I79" s="46"/>
      <c r="J79" s="46"/>
      <c r="K79" s="46"/>
    </row>
    <row r="80" spans="1:11" ht="74.25" customHeight="1">
      <c r="A80" s="46" t="s">
        <v>757</v>
      </c>
      <c r="B80" s="46"/>
      <c r="C80" s="46"/>
      <c r="D80" s="46"/>
      <c r="E80" s="46"/>
      <c r="F80" s="46"/>
      <c r="G80" s="46"/>
      <c r="H80" s="46"/>
      <c r="I80" s="46"/>
      <c r="J80" s="46"/>
      <c r="K80" s="46"/>
    </row>
    <row r="81" spans="1:11" ht="92.25" customHeight="1">
      <c r="A81" s="46" t="s">
        <v>758</v>
      </c>
      <c r="B81" s="46"/>
      <c r="C81" s="46"/>
      <c r="D81" s="46"/>
      <c r="E81" s="46"/>
      <c r="F81" s="46"/>
      <c r="G81" s="46"/>
      <c r="H81" s="46"/>
      <c r="I81" s="46"/>
      <c r="J81" s="46"/>
      <c r="K81" s="46"/>
    </row>
    <row r="82" spans="1:11" ht="156" customHeight="1">
      <c r="A82" s="46" t="s">
        <v>768</v>
      </c>
      <c r="B82" s="46"/>
      <c r="C82" s="46"/>
      <c r="D82" s="46"/>
      <c r="E82" s="46"/>
      <c r="F82" s="46"/>
      <c r="G82" s="46"/>
      <c r="H82" s="46"/>
      <c r="I82" s="46"/>
      <c r="J82" s="46"/>
      <c r="K82" s="46"/>
    </row>
    <row r="83" spans="1:11" ht="100.5" customHeight="1">
      <c r="A83" s="46" t="s">
        <v>759</v>
      </c>
      <c r="B83" s="46"/>
      <c r="C83" s="46"/>
      <c r="D83" s="46"/>
      <c r="E83" s="46"/>
      <c r="F83" s="46"/>
      <c r="G83" s="46"/>
      <c r="H83" s="46"/>
      <c r="I83" s="46"/>
      <c r="J83" s="46"/>
      <c r="K83" s="46"/>
    </row>
    <row r="84" spans="1:11" ht="147.75" customHeight="1">
      <c r="A84" s="46" t="s">
        <v>760</v>
      </c>
      <c r="B84" s="46"/>
      <c r="C84" s="46"/>
      <c r="D84" s="46"/>
      <c r="E84" s="46"/>
      <c r="F84" s="46"/>
      <c r="G84" s="46"/>
      <c r="H84" s="46"/>
      <c r="I84" s="46"/>
      <c r="J84" s="46"/>
      <c r="K84" s="46"/>
    </row>
    <row r="85" spans="1:11" ht="67.5" customHeight="1">
      <c r="A85" s="46" t="s">
        <v>761</v>
      </c>
      <c r="B85" s="46"/>
      <c r="C85" s="46"/>
      <c r="D85" s="46"/>
      <c r="E85" s="46"/>
      <c r="F85" s="46"/>
      <c r="G85" s="46"/>
      <c r="H85" s="46"/>
      <c r="I85" s="46"/>
      <c r="J85" s="46"/>
      <c r="K85" s="46"/>
    </row>
    <row r="86" spans="1:11" ht="67.5" customHeight="1">
      <c r="A86" s="46" t="s">
        <v>762</v>
      </c>
      <c r="B86" s="46"/>
      <c r="C86" s="46"/>
      <c r="D86" s="46"/>
      <c r="E86" s="46"/>
      <c r="F86" s="46"/>
      <c r="G86" s="46"/>
      <c r="H86" s="46"/>
      <c r="I86" s="46"/>
      <c r="J86" s="46"/>
      <c r="K86" s="46"/>
    </row>
    <row r="87" spans="1:11" ht="67.5" customHeight="1">
      <c r="A87" s="46" t="s">
        <v>763</v>
      </c>
      <c r="B87" s="46"/>
      <c r="C87" s="46"/>
      <c r="D87" s="46"/>
      <c r="E87" s="46"/>
      <c r="F87" s="46"/>
      <c r="G87" s="46"/>
      <c r="H87" s="46"/>
      <c r="I87" s="46"/>
      <c r="J87" s="46"/>
      <c r="K87" s="46"/>
    </row>
    <row r="88" spans="1:11" ht="89.25" customHeight="1">
      <c r="A88" s="46" t="s">
        <v>764</v>
      </c>
      <c r="B88" s="46"/>
      <c r="C88" s="46"/>
      <c r="D88" s="46"/>
      <c r="E88" s="46"/>
      <c r="F88" s="46"/>
      <c r="G88" s="46"/>
      <c r="H88" s="46"/>
      <c r="I88" s="46"/>
      <c r="J88" s="46"/>
      <c r="K88" s="46"/>
    </row>
    <row r="89" spans="1:11" ht="67.5" customHeight="1">
      <c r="A89" s="46" t="s">
        <v>765</v>
      </c>
      <c r="B89" s="46"/>
      <c r="C89" s="46"/>
      <c r="D89" s="46"/>
      <c r="E89" s="46"/>
      <c r="F89" s="46"/>
      <c r="G89" s="46"/>
      <c r="H89" s="46"/>
      <c r="I89" s="46"/>
      <c r="J89" s="46"/>
      <c r="K89" s="46"/>
    </row>
    <row r="90" spans="1:11" ht="147" customHeight="1">
      <c r="A90" s="46" t="s">
        <v>766</v>
      </c>
      <c r="B90" s="46"/>
      <c r="C90" s="46"/>
      <c r="D90" s="46"/>
      <c r="E90" s="46"/>
      <c r="F90" s="46"/>
      <c r="G90" s="46"/>
      <c r="H90" s="46"/>
      <c r="I90" s="46"/>
      <c r="J90" s="46"/>
      <c r="K90" s="46"/>
    </row>
    <row r="91" spans="1:11" ht="105" customHeight="1">
      <c r="A91" s="46" t="s">
        <v>767</v>
      </c>
      <c r="B91" s="46"/>
      <c r="C91" s="46"/>
      <c r="D91" s="46"/>
      <c r="E91" s="46"/>
      <c r="F91" s="46"/>
      <c r="G91" s="46"/>
      <c r="H91" s="46"/>
      <c r="I91" s="46"/>
      <c r="J91" s="46"/>
      <c r="K91" s="46"/>
    </row>
  </sheetData>
  <mergeCells count="57">
    <mergeCell ref="A20:K20"/>
    <mergeCell ref="A23:K23"/>
    <mergeCell ref="A21:K21"/>
    <mergeCell ref="A2:K2"/>
    <mergeCell ref="B3:B4"/>
    <mergeCell ref="C3:C4"/>
    <mergeCell ref="D3:D4"/>
    <mergeCell ref="E3:E4"/>
    <mergeCell ref="F3:F4"/>
    <mergeCell ref="G3:G4"/>
    <mergeCell ref="H3:H4"/>
    <mergeCell ref="I3:I4"/>
    <mergeCell ref="J3:J4"/>
    <mergeCell ref="K3:K4"/>
    <mergeCell ref="A1:K1"/>
    <mergeCell ref="A17:K17"/>
    <mergeCell ref="A18:K18"/>
    <mergeCell ref="A19:K19"/>
    <mergeCell ref="A55:K55"/>
    <mergeCell ref="A22:K22"/>
    <mergeCell ref="A24:K24"/>
    <mergeCell ref="A25:K25"/>
    <mergeCell ref="A31:K31"/>
    <mergeCell ref="A47:K47"/>
    <mergeCell ref="A48:K48"/>
    <mergeCell ref="A49:K49"/>
    <mergeCell ref="A50:K50"/>
    <mergeCell ref="A51:K51"/>
    <mergeCell ref="A53:K53"/>
    <mergeCell ref="A54:K54"/>
    <mergeCell ref="A76:K76"/>
    <mergeCell ref="A56:K56"/>
    <mergeCell ref="A57:K57"/>
    <mergeCell ref="A58:K58"/>
    <mergeCell ref="A59:K59"/>
    <mergeCell ref="A60:K60"/>
    <mergeCell ref="A61:K61"/>
    <mergeCell ref="A62:K62"/>
    <mergeCell ref="A63:K63"/>
    <mergeCell ref="A73:K73"/>
    <mergeCell ref="A74:K74"/>
    <mergeCell ref="A75:K75"/>
    <mergeCell ref="A77:K77"/>
    <mergeCell ref="A78:K78"/>
    <mergeCell ref="A79:K79"/>
    <mergeCell ref="A80:K80"/>
    <mergeCell ref="A81:K81"/>
    <mergeCell ref="A88:K88"/>
    <mergeCell ref="A89:K89"/>
    <mergeCell ref="A90:K90"/>
    <mergeCell ref="A91:K91"/>
    <mergeCell ref="A82:K82"/>
    <mergeCell ref="A83:K83"/>
    <mergeCell ref="A84:K84"/>
    <mergeCell ref="A85:K85"/>
    <mergeCell ref="A86:K86"/>
    <mergeCell ref="A87:K87"/>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5</vt:i4>
      </vt:variant>
      <vt:variant>
        <vt:lpstr>命名范围</vt:lpstr>
      </vt:variant>
      <vt:variant>
        <vt:i4>1</vt:i4>
      </vt:variant>
    </vt:vector>
  </HeadingPairs>
  <TitlesOfParts>
    <vt:vector size="6" baseType="lpstr">
      <vt:lpstr>试音键盘</vt:lpstr>
      <vt:lpstr>Notes</vt:lpstr>
      <vt:lpstr>Messages</vt:lpstr>
      <vt:lpstr>音色</vt:lpstr>
      <vt:lpstr>频率知识</vt:lpstr>
      <vt:lpstr>音色!提取</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安全上网</dc:creator>
  <cp:lastModifiedBy>忙忙碌碌</cp:lastModifiedBy>
  <dcterms:created xsi:type="dcterms:W3CDTF">2018-11-11T12:02:28Z</dcterms:created>
  <dcterms:modified xsi:type="dcterms:W3CDTF">2018-11-30T03:52:28Z</dcterms:modified>
</cp:coreProperties>
</file>